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_ramirez\Downloads\"/>
    </mc:Choice>
  </mc:AlternateContent>
  <xr:revisionPtr revIDLastSave="0" documentId="13_ncr:1_{0766EF6A-EEBA-422D-9B4D-B503771A6F8A}" xr6:coauthVersionLast="47" xr6:coauthVersionMax="47" xr10:uidLastSave="{00000000-0000-0000-0000-000000000000}"/>
  <bookViews>
    <workbookView xWindow="20370" yWindow="-120" windowWidth="20730" windowHeight="11040" firstSheet="1" activeTab="5" xr2:uid="{4D77546F-009C-4730-A267-F8A804572A07}"/>
  </bookViews>
  <sheets>
    <sheet name="Politicas" sheetId="3" state="hidden" r:id="rId1"/>
    <sheet name="convinaciones fina" sheetId="4" r:id="rId2"/>
    <sheet name="Hoja1" sheetId="5" state="hidden" r:id="rId3"/>
    <sheet name="Productos" sheetId="1" r:id="rId4"/>
    <sheet name="Hoja2" sheetId="6" r:id="rId5"/>
    <sheet name="Asesora Politicas" sheetId="2" r:id="rId6"/>
  </sheets>
  <definedNames>
    <definedName name="_xlnm._FilterDatabase" localSheetId="3" hidden="1">Productos!$A$1:$AG$154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9" i="1" l="1"/>
  <c r="Y29" i="1"/>
  <c r="V29" i="1"/>
  <c r="T29" i="1"/>
  <c r="Z28" i="1"/>
  <c r="Y28" i="1"/>
  <c r="V28" i="1"/>
  <c r="T28" i="1"/>
  <c r="Z27" i="1"/>
  <c r="Y27" i="1"/>
  <c r="V27" i="1"/>
  <c r="T27" i="1"/>
  <c r="Z26" i="1"/>
  <c r="Y26" i="1"/>
  <c r="V26" i="1"/>
  <c r="T26" i="1"/>
  <c r="Z25" i="1"/>
  <c r="Y25" i="1"/>
  <c r="V25" i="1"/>
  <c r="T25" i="1"/>
  <c r="Z24" i="1"/>
  <c r="Y24" i="1"/>
  <c r="V24" i="1"/>
  <c r="T24" i="1"/>
  <c r="Z23" i="1"/>
  <c r="Y23" i="1"/>
  <c r="V23" i="1"/>
  <c r="T23" i="1"/>
  <c r="Z22" i="1"/>
  <c r="Y22" i="1"/>
  <c r="V22" i="1"/>
  <c r="T22" i="1"/>
  <c r="Z21" i="1"/>
  <c r="Y21" i="1"/>
  <c r="V21" i="1"/>
  <c r="T21" i="1"/>
  <c r="Z20" i="1"/>
  <c r="Y20" i="1"/>
  <c r="V20" i="1"/>
  <c r="T20" i="1"/>
  <c r="N29" i="1"/>
  <c r="Q29" i="1" s="1"/>
  <c r="N28" i="1"/>
  <c r="Q28" i="1" s="1"/>
  <c r="N27" i="1"/>
  <c r="Q27" i="1" s="1"/>
  <c r="N26" i="1"/>
  <c r="Q26" i="1" s="1"/>
  <c r="N25" i="1"/>
  <c r="Q25" i="1" s="1"/>
  <c r="N24" i="1"/>
  <c r="Q24" i="1" s="1"/>
  <c r="N23" i="1"/>
  <c r="Q23" i="1" s="1"/>
  <c r="N22" i="1"/>
  <c r="Q22" i="1" s="1"/>
  <c r="N21" i="1"/>
  <c r="Q21" i="1" s="1"/>
  <c r="N20" i="1"/>
  <c r="Q20" i="1" s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N4" i="1"/>
  <c r="Q4" i="1" s="1"/>
  <c r="N5" i="1"/>
  <c r="Q5" i="1" s="1"/>
  <c r="N6" i="1"/>
  <c r="Q6" i="1" s="1"/>
  <c r="N7" i="1"/>
  <c r="Q7" i="1" s="1"/>
  <c r="N8" i="1"/>
  <c r="Q8" i="1" s="1"/>
  <c r="N9" i="1"/>
  <c r="Q9" i="1" s="1"/>
  <c r="N10" i="1"/>
  <c r="Q10" i="1" s="1"/>
  <c r="N11" i="1"/>
  <c r="Q11" i="1" s="1"/>
  <c r="N12" i="1"/>
  <c r="Q12" i="1" s="1"/>
  <c r="N13" i="1"/>
  <c r="Q13" i="1" s="1"/>
  <c r="N14" i="1"/>
  <c r="Q14" i="1" s="1"/>
  <c r="N15" i="1"/>
  <c r="Q15" i="1" s="1"/>
  <c r="N16" i="1"/>
  <c r="Q16" i="1" s="1"/>
  <c r="N17" i="1"/>
  <c r="Q17" i="1" s="1"/>
  <c r="N18" i="1"/>
  <c r="Q18" i="1" s="1"/>
  <c r="N19" i="1"/>
  <c r="Q19" i="1" s="1"/>
  <c r="N3" i="1"/>
  <c r="Q3" i="1" s="1"/>
  <c r="N2" i="1"/>
  <c r="Q2" i="1" s="1"/>
  <c r="H14" i="2" l="1"/>
  <c r="H19" i="2"/>
  <c r="F1" i="2"/>
  <c r="F9" i="2" s="1"/>
  <c r="J11" i="2" s="1"/>
  <c r="G11" i="2"/>
  <c r="C5" i="2"/>
  <c r="G4" i="2"/>
  <c r="L4" i="2"/>
  <c r="L2" i="2"/>
  <c r="G8" i="2"/>
  <c r="F4" i="2"/>
  <c r="I10" i="3"/>
  <c r="I11" i="3"/>
  <c r="I12" i="3"/>
  <c r="I13" i="3"/>
  <c r="I18" i="3"/>
  <c r="I19" i="3"/>
  <c r="I20" i="3"/>
  <c r="I21" i="3"/>
  <c r="I22" i="3"/>
  <c r="I9" i="3"/>
  <c r="I16" i="3"/>
  <c r="K16" i="3"/>
  <c r="B16" i="3"/>
  <c r="H11" i="2" l="1"/>
  <c r="F8" i="2"/>
  <c r="F21" i="2" s="1"/>
  <c r="F14" i="2" l="1"/>
  <c r="F13" i="2"/>
  <c r="F19" i="2"/>
  <c r="F12" i="2"/>
  <c r="F17" i="2"/>
  <c r="G17" i="2" s="1"/>
  <c r="H17" i="2" s="1"/>
  <c r="F11" i="2"/>
  <c r="F23" i="2" s="1"/>
  <c r="F18" i="2"/>
  <c r="G18" i="2" s="1"/>
  <c r="H18" i="2" s="1"/>
  <c r="F15" i="2"/>
  <c r="G15" i="2" s="1"/>
  <c r="H15" i="2" s="1"/>
  <c r="H4" i="2"/>
  <c r="I11" i="2" s="1"/>
  <c r="F16" i="2"/>
  <c r="G16" i="2" s="1"/>
  <c r="H16" i="2" s="1"/>
  <c r="G13" i="2" l="1"/>
  <c r="H13" i="2" s="1"/>
  <c r="F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tc={7696BB5C-8E22-4EAC-B27F-F15AAA568DBD}</author>
    <author>tc={488743DD-34DF-4B9A-8183-DAE0E383D443}</author>
    <author>tc={E40E33BC-9255-4084-92CD-64C6786C0BF2}</author>
    <author>tc={1D1D52D9-AB98-4AE9-8CD2-1B1AE34E214C}</author>
  </authors>
  <commentList>
    <comment ref="B1" authorId="0" shapeId="0" xr:uid="{7696BB5C-8E22-4EAC-B27F-F15AAA568D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columna es la de referencia de cuotas</t>
      </text>
    </comment>
    <comment ref="I10" authorId="1" shapeId="0" xr:uid="{488743DD-34DF-4B9A-8183-DAE0E383D4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Hasta fecha</t>
      </text>
    </comment>
    <comment ref="G12" authorId="2" shapeId="0" xr:uid="{E40E33BC-9255-4084-92CD-64C6786C0B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hasta “Fecha”</t>
      </text>
    </comment>
    <comment ref="I12" authorId="3" shapeId="0" xr:uid="{1D1D52D9-AB98-4AE9-8CD2-1B1AE34E21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Hasta “fecha” despues ver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tc={76F2D701-6DA2-48E0-98FF-3212CF39334F}</author>
  </authors>
  <commentList>
    <comment ref="G1" authorId="0" shapeId="0" xr:uid="{76F2D701-6DA2-48E0-98FF-3212CF3933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Pone NO, en eventos masivos. De lo contrario siempre va SI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export (22)" description="Conexión a la consulta 'export (22)' en el libro." type="5" refreshedVersion="0" background="1" saveData="1">
    <dbPr connection="Provider=Microsoft.Mashup.OleDb.1;Data Source=$Workbook$;Location=&quot;export (22)&quot;;Extended Properties=&quot;&quot;" command="SELECT * FROM [export (22)]"/>
  </connection>
  <connection id="2" xr16:uid="{00000000-0015-0000-FFFF-FFFF01000000}" keepAlive="1" name="Consulta - export (3)" description="Conexión a la consulta 'export (3)' en el libro." type="5" refreshedVersion="8" background="1" saveData="1">
    <dbPr connection="Provider=Microsoft.Mashup.OleDb.1;Data Source=$Workbook$;Location=&quot;export (3)&quot;;Extended Properties=&quot;&quot;" command="SELECT * FROM [export (3)]"/>
  </connection>
  <connection id="3" xr16:uid="{00000000-0015-0000-FFFF-FFFF02000000}" keepAlive="1" name="Consulta - Stock Sub Rubro (Jorge)(revista revision)(Electro)2025 (1)" description="Conexión a la consulta 'Stock Sub Rubro (Jorge)(revista revision)(Electro)2025 (1)' en el libro." type="5" refreshedVersion="0" background="1" saveData="1">
    <dbPr connection="Provider=Microsoft.Mashup.OleDb.1;Data Source=$Workbook$;Location=&quot;Stock Sub Rubro (Jorge)(revista revision)(Electro)2025 (1)&quot;;Extended Properties=&quot;&quot;" command="SELECT * FROM [Stock Sub Rubro (Jorge)(revista revision)(Electro)2025 (1)]"/>
  </connection>
</connections>
</file>

<file path=xl/sharedStrings.xml><?xml version="1.0" encoding="utf-8"?>
<sst xmlns="http://schemas.openxmlformats.org/spreadsheetml/2006/main" count="775" uniqueCount="239">
  <si>
    <t>Vigencia desde y hasta:</t>
  </si>
  <si>
    <t>AFILIADOS</t>
  </si>
  <si>
    <t>Catálogo Noviembre</t>
  </si>
  <si>
    <t>tipo de oferta</t>
  </si>
  <si>
    <t>publicación</t>
  </si>
  <si>
    <t>Medio Pago</t>
  </si>
  <si>
    <t>ES precio oferta?</t>
  </si>
  <si>
    <t>Es tasa peque?</t>
  </si>
  <si>
    <t>Es sin interes?</t>
  </si>
  <si>
    <t>Adicional AFILIADOS 5% revista</t>
  </si>
  <si>
    <t>+ Tiempo, 
+ Beneficio</t>
  </si>
  <si>
    <t>Adicional % contado</t>
  </si>
  <si>
    <t xml:space="preserve">sin interés </t>
  </si>
  <si>
    <t>3 sin interés</t>
  </si>
  <si>
    <t>TARJETA BANCARIAS EN CUOTAS-  NARANJA- TUYA-PROGRAMA AHORA MISIONES-</t>
  </si>
  <si>
    <t>SI</t>
  </si>
  <si>
    <t>NO</t>
  </si>
  <si>
    <t>6 a 12 sin interés</t>
  </si>
  <si>
    <t>EFECTIVO-DEBITO- TRANSFERENCIA - CUENTA CORRIENTE</t>
  </si>
  <si>
    <t>Peque tasa</t>
  </si>
  <si>
    <t>de 10 a 24 cuotas</t>
  </si>
  <si>
    <t>TARJETA BANCARIAS, NARANJA , TUYA</t>
  </si>
  <si>
    <t>contado / con interés</t>
  </si>
  <si>
    <t>todas</t>
  </si>
  <si>
    <t xml:space="preserve">TARJETAS NO BANCARIAS EN CUOTAS - NARANJA- TUYA - SIDECREER - LOCRED- FINACIERAS- MERCADO PAGO- CUENTA CORRIENTE 2 A 12- </t>
  </si>
  <si>
    <t>EFECTIVO-DEBITO- TRANSFERENCIA -CUENTA CORRIENTE</t>
  </si>
  <si>
    <t>CONSUMIDOR FINAL</t>
  </si>
  <si>
    <t>EFECTIVO-DEBITO- TRANSFERENCIA -FINANCIACIÓN 1 PAGO  TARJETA CREDITO- CUENTA CORRIENTE</t>
  </si>
  <si>
    <t>SI (con Gtia o Blister)</t>
  </si>
  <si>
    <t>Tipo Cuota Simple</t>
  </si>
  <si>
    <t>Naranja</t>
  </si>
  <si>
    <t>Peque</t>
  </si>
  <si>
    <t>Medio Cuota Simple</t>
  </si>
  <si>
    <t>Medio pago Naranja</t>
  </si>
  <si>
    <t>Medio Pago TUYA</t>
  </si>
  <si>
    <t>Medio Pago Sidecreer</t>
  </si>
  <si>
    <t>Medio Pago Consumax</t>
  </si>
  <si>
    <t>Medio Pago Directo CP</t>
  </si>
  <si>
    <t>Contado</t>
  </si>
  <si>
    <t>Bco Nación, BBVA, Galicia, Macro</t>
  </si>
  <si>
    <t>-----</t>
  </si>
  <si>
    <t>Peque 10</t>
  </si>
  <si>
    <t>hasta 10 cuotas</t>
  </si>
  <si>
    <t>hasta 6 cuotas</t>
  </si>
  <si>
    <t>hasta 3 cuotas</t>
  </si>
  <si>
    <t>hasta 3 cuotas por Peque consultar</t>
  </si>
  <si>
    <t>Plan Max</t>
  </si>
  <si>
    <t>hasta 15 cuotas "con interés"</t>
  </si>
  <si>
    <t>Peque 12</t>
  </si>
  <si>
    <t>hasta 12 cuotas</t>
  </si>
  <si>
    <t>Peque 18</t>
  </si>
  <si>
    <t>hasta 18 cuotas</t>
  </si>
  <si>
    <t>Peque 24</t>
  </si>
  <si>
    <t>hasta 24 cuotas</t>
  </si>
  <si>
    <t>Sin Int 3</t>
  </si>
  <si>
    <t>NO Tiene habilitado</t>
  </si>
  <si>
    <t>hasta 1 pago</t>
  </si>
  <si>
    <t>hasta 1 cuotas</t>
  </si>
  <si>
    <t>Sin Int 6</t>
  </si>
  <si>
    <t>Sin Int 10</t>
  </si>
  <si>
    <t>hasta 5 cuotas</t>
  </si>
  <si>
    <t>hasta 4 cuotas "Sin interés"</t>
  </si>
  <si>
    <t>Sin Int 12</t>
  </si>
  <si>
    <t>Sin Int 18</t>
  </si>
  <si>
    <t>Sin Int 9</t>
  </si>
  <si>
    <t>hasta 9 cuotas</t>
  </si>
  <si>
    <t>hasta 4 cuotas</t>
  </si>
  <si>
    <t>Oferta Cont 1</t>
  </si>
  <si>
    <t>SKU</t>
  </si>
  <si>
    <t>Articulo</t>
  </si>
  <si>
    <t>Marca</t>
  </si>
  <si>
    <t>Rubro</t>
  </si>
  <si>
    <t>Precio Vta P</t>
  </si>
  <si>
    <t>Ahorro</t>
  </si>
  <si>
    <t>Precio Oferta</t>
  </si>
  <si>
    <t>En Catalogo</t>
  </si>
  <si>
    <t>Afil Desc</t>
  </si>
  <si>
    <t>Desc Contado</t>
  </si>
  <si>
    <t>Tipo Fciación</t>
  </si>
  <si>
    <t>Cuotas:</t>
  </si>
  <si>
    <t>CUOTAS.A</t>
  </si>
  <si>
    <t>Importe Cuota A</t>
  </si>
  <si>
    <t>_</t>
  </si>
  <si>
    <t>CFT</t>
  </si>
  <si>
    <t>PTF</t>
  </si>
  <si>
    <t>Tasa Naranja</t>
  </si>
  <si>
    <t>CUOTAS.N</t>
  </si>
  <si>
    <t>Importe Cuota N</t>
  </si>
  <si>
    <t>CUOTAS.T</t>
  </si>
  <si>
    <t>Importe Cuota T</t>
  </si>
  <si>
    <t>__</t>
  </si>
  <si>
    <t>CFT_1</t>
  </si>
  <si>
    <t>PTF_1</t>
  </si>
  <si>
    <t>Cod Art</t>
  </si>
  <si>
    <t>Venta Tarjeta Cuotas</t>
  </si>
  <si>
    <t>Cod Posnet</t>
  </si>
  <si>
    <t>MP Softland</t>
  </si>
  <si>
    <t>FechaInicio</t>
  </si>
  <si>
    <t>FechaFin</t>
  </si>
  <si>
    <t>ST</t>
  </si>
  <si>
    <t>Para Web</t>
  </si>
  <si>
    <t>Notebook 14,1" HD Celeron N4020 4GB SSD 128GB Windows 11 - PCBOX (PCB-GLW4EE)</t>
  </si>
  <si>
    <t>PCBOX</t>
  </si>
  <si>
    <t>Promo TV mundial</t>
  </si>
  <si>
    <t>Sin Int</t>
  </si>
  <si>
    <t>12 cuotas</t>
  </si>
  <si>
    <t>Promo electro cuota sin interes Bancarias (todo en PAYWAY Si es cabal cód 12)</t>
  </si>
  <si>
    <t>12Sin IntBancarias+12Sin IntNaranja+9Tuya</t>
  </si>
  <si>
    <t>Notebook Ryzen 3 8GB SSD 256GB 15,6" Windows 11 Pantalla IPS - PCBOX (78601)</t>
  </si>
  <si>
    <t>Smart TV 32" HD Android TV - PHILCO (PLD32HS25AH)</t>
  </si>
  <si>
    <t>PHILCO</t>
  </si>
  <si>
    <t>Smart TV 32" HD Google TV - BGH (B3226G5G)</t>
  </si>
  <si>
    <t>BGH</t>
  </si>
  <si>
    <t>Smart TV 32" HD Roku TV - NOBLEX (DB32X3010)</t>
  </si>
  <si>
    <t>NOBLEX</t>
  </si>
  <si>
    <t>Smart TV 32" HD Titan OS - PHILIPS (32PHD6910/77)</t>
  </si>
  <si>
    <t>PHILIPS</t>
  </si>
  <si>
    <t>Smart TV 32" HD Titan OS - PHILIPS (32PHD6929/77)</t>
  </si>
  <si>
    <t>Smart TV 50" UHD 4K QLED Black Series Google TV - NOBLEX (DQ50X9580)</t>
  </si>
  <si>
    <t>Smart TV 50" UHD 4K Titan OS - AOC (50U7345/77I)</t>
  </si>
  <si>
    <t>AOC</t>
  </si>
  <si>
    <t>Smart TV 55" UHD 4K Borderless Titan OS - PHILIPS (55PUD7309/77)</t>
  </si>
  <si>
    <t>Smart TV 55" UHD 4K Google TV - TCL (55V6C)</t>
  </si>
  <si>
    <t>TCL</t>
  </si>
  <si>
    <t>Smart TV 60" UHD 4K Google TV - BGH (PNE040306)</t>
  </si>
  <si>
    <t>Smart TV 65" UHD 4K Google TV - NOBLEX (DV65X8580)</t>
  </si>
  <si>
    <t>Smart TV 65" UHD 4K The Xtra QLED+Mini LED Borderless con Ambilight Google TV - PHILIPS (65PML9118/77)</t>
  </si>
  <si>
    <t>Tablet 4GB Ram 64GB Rom 10.1" OctaCore 2.0GHz Android 14 5000mAh Incluye Funda - SKY (PAD10 464)</t>
  </si>
  <si>
    <t>SKY</t>
  </si>
  <si>
    <t>Tablet 4GB Ram 64GB Rom 10.4" Gen 2 Space Gray Incluye Flipcase y Teclado - TCL (33645)</t>
  </si>
  <si>
    <t>Tablet 6GB Ram 128GB Rom 10.1" OctaCore 1.6GHz Android 14 7000mAh Incluye Funda - SKY (ELITE T10 MAX)</t>
  </si>
  <si>
    <t>Vitroconvector Electrico 1500W con Turbo Forzador Pie Pared - CRIVEL (GPH-15 T)</t>
  </si>
  <si>
    <t>CRIVEL</t>
  </si>
  <si>
    <t>Balanza de Cocina LCD Digital hasta 3kg Tactil Apagado Automatico - PHILCO (BC24B1PP)</t>
  </si>
  <si>
    <t> $          4.342,04</t>
  </si>
  <si>
    <t>Promo Apertura</t>
  </si>
  <si>
    <t>Cargador de Pared Gan Mega 30W Blanco - FOXBOX (7993)</t>
  </si>
  <si>
    <t>FOXBOX</t>
  </si>
  <si>
    <t> $          7.385,23</t>
  </si>
  <si>
    <t>Cocina 51cm Blanca Candor S2 Gas Licuado - ESCORIAL (01.01-00070)</t>
  </si>
  <si>
    <t>ESCORIAL</t>
  </si>
  <si>
    <t> $        78.930,45</t>
  </si>
  <si>
    <t>Cocina 56cm Acero Inoxidable Classic - ESCORIAL (MASTER INOX CLASSIC)</t>
  </si>
  <si>
    <t> $      112.452,36</t>
  </si>
  <si>
    <t>Cocina 56cm Blanca Enlozada Durpox Multigas - FLORENCIA (FLOR 5516F)</t>
  </si>
  <si>
    <t>FLORENCIA</t>
  </si>
  <si>
    <t> $        98.317,84</t>
  </si>
  <si>
    <t>Lavarropas Automatico C/Superior 6,5kg 800rpm Blanco EEA+ Concept - DREAN (Neo Fuzzy 6.8 Blanco)</t>
  </si>
  <si>
    <t>DREAN</t>
  </si>
  <si>
    <t> $      132.297,37</t>
  </si>
  <si>
    <t>Lavarropas Semiautomatico 7kg Blanco/Azul 7 Programas de Lavado - COLUMBIA (LSC 7000)</t>
  </si>
  <si>
    <t>COLUMBIA</t>
  </si>
  <si>
    <t> $        43.564,77</t>
  </si>
  <si>
    <t>Licuadora de Vaso 1.5Lts 500W Blanca 2 Velocidades + Pulsador - ATMA (LI8445AP)</t>
  </si>
  <si>
    <t>ATMA</t>
  </si>
  <si>
    <t> $        15.849,01</t>
  </si>
  <si>
    <t>Secarropas Centrifugo 6,5Kg 2800rpm Blanco/Azul - CODINI (AD65)</t>
  </si>
  <si>
    <t>CODINI</t>
  </si>
  <si>
    <t> $        50.102,55</t>
  </si>
  <si>
    <t>Tablet 3GB Ram 32GB Rom 8.7" Galaxy Tab A7 Lite Silver - SAMSUNG (SM-T220NZSDARO)</t>
  </si>
  <si>
    <t>SAMSUNG</t>
  </si>
  <si>
    <t> $        83.811,64</t>
  </si>
  <si>
    <t>Celular Galaxy A06 4GB Ram 64GB Rom Green - SAMSUNG (SM-A065MLGAARO)</t>
  </si>
  <si>
    <t>CELULARES</t>
  </si>
  <si>
    <t>24.48% - $ 93800</t>
  </si>
  <si>
    <t>Dia del Padre</t>
  </si>
  <si>
    <t xml:space="preserve">6 cuotas </t>
  </si>
  <si>
    <t>Promo electro cuota sin interes Bancarias (todo en PAYWAY Si es cabal cód 16)</t>
  </si>
  <si>
    <t>6Sin IntBancarias+6Sin IntNaranja+3Tuya</t>
  </si>
  <si>
    <t>Celular Moto G15 4GB Ram 128GB Rom Verde - MOTOROLA (PB6D0034AR)</t>
  </si>
  <si>
    <t>MOTOROLA</t>
  </si>
  <si>
    <t>24.492% - $ 97100</t>
  </si>
  <si>
    <t>Celular Redmi 14C Midnight Black 4GB Ram 256GB Rom</t>
  </si>
  <si>
    <t>XIAOMI</t>
  </si>
  <si>
    <t>ELECTRODOMESTICOS</t>
  </si>
  <si>
    <t>24.488% - $ 121400</t>
  </si>
  <si>
    <t>Celular Moto G15 SE 4GB Ram 256GB Rom Verde - MOTOROLA (PB6D0088AR)</t>
  </si>
  <si>
    <t>24.479% - $ 113200</t>
  </si>
  <si>
    <t>Celular Redmi Note 14 Pro 8GB Ram 256GB Rom Aurora Purple - XIAOMI (MZB0KBZAR)</t>
  </si>
  <si>
    <t>24.488% - $ 242800</t>
  </si>
  <si>
    <t>Celular Moto G56 5G 8GB Ram 256GB Rom Gray Mist - MOTOROLA (PB800002AR)</t>
  </si>
  <si>
    <t>24.483% - $ 194100</t>
  </si>
  <si>
    <t>Motosierra Naftera 2T 52cc 2.5Hp Esp - GARDEN PLUS (PROM-52GC)</t>
  </si>
  <si>
    <t>GARDEN PLUS</t>
  </si>
  <si>
    <t>TALLER</t>
  </si>
  <si>
    <t>23.484% - $ 33500</t>
  </si>
  <si>
    <t>Hidrolavadora 1200W 70Bar</t>
  </si>
  <si>
    <t>LUSQTOFF</t>
  </si>
  <si>
    <t>23.519% - $ 36800</t>
  </si>
  <si>
    <t>Lijadora Orbital 260W 220V-50hz - LUSQTOFF (LOL260-8)</t>
  </si>
  <si>
    <t>16.698% - $ 16200</t>
  </si>
  <si>
    <t xml:space="preserve">12 cuotas </t>
  </si>
  <si>
    <t>Promo electro cuota sin interes Bancarias (todo en PAYWAY)</t>
  </si>
  <si>
    <t>12Sin IntBancarias+12Sin IntNaranja+6Tuya</t>
  </si>
  <si>
    <t>Mini Torno 150W 220V-50hz con Accesorios - LUSQTOFF (MTL150-9)</t>
  </si>
  <si>
    <t>23.467% - $ 28700</t>
  </si>
  <si>
    <t>Kit Herramientas 108 Piezas Caja Plastica - LUSQTOFF (SET108LQ)</t>
  </si>
  <si>
    <t>16.698% - $ 21600</t>
  </si>
  <si>
    <t>Taladro a Bateria con Percutor 18V 1.5A - LUSQTOFF (ATL18-8B)</t>
  </si>
  <si>
    <t>23.498% - $ 36100</t>
  </si>
  <si>
    <t>Taladro Percutor y Atornillador 450W 220v - LUSQTOFF (TAL450-9)</t>
  </si>
  <si>
    <t>23.474% - $ 32300</t>
  </si>
  <si>
    <t>Atornillador Electrico 710W 4000rpm Electrico Durlock - LUSQTOFF (ATL710-8)</t>
  </si>
  <si>
    <t>23.498% - $ 34500</t>
  </si>
  <si>
    <t>Taladro Atornillador 300W - LUSQTOFF (TAL300-8)</t>
  </si>
  <si>
    <t>16.698% - $ 13500</t>
  </si>
  <si>
    <t>Taladro con Percutor 710W 13mm - LUSQTOFF (TPL710-8)</t>
  </si>
  <si>
    <t>Kit Amoladora 115Mm + Taladro 13 Mm - LUSQTOFF (KATL-8)</t>
  </si>
  <si>
    <t>23.513% - $ 44600</t>
  </si>
  <si>
    <t>Hidrolavadora 2200W 130Bar 7,7Lts/min - LUSQTOFF (LT-590)</t>
  </si>
  <si>
    <t>23.499% - $ 180500</t>
  </si>
  <si>
    <t>Soldadora Inverter 220V 50Hz 105Amp - LUSQTOFF (IRON100-8)</t>
  </si>
  <si>
    <t>16.685% - $ 27100</t>
  </si>
  <si>
    <t>Soldadora Inverter 220V 50Hz 120A con Escuadras - LUSQTOFF (MEGAIRON140)</t>
  </si>
  <si>
    <t>23.494% - $ 68900</t>
  </si>
  <si>
    <t>Amoladora Angular 850W 11000rpm 125mm 220V50Hz - LUSQTOFF (AML850-9)</t>
  </si>
  <si>
    <t>18.121% - $ 18900</t>
  </si>
  <si>
    <t xml:space="preserve">9 cuotas </t>
  </si>
  <si>
    <t>9Sin IntBancarias+9Sin IntNaranja+5Tuya</t>
  </si>
  <si>
    <t>Taladro Atornillador Inalambrico 12v Caja con Accesorios - LUSQTOFF (TAL12-8A)</t>
  </si>
  <si>
    <t>23.48% - $ 35900</t>
  </si>
  <si>
    <t>Hidrolavadora 1400W 1100Bar 340Lts/Hora - ULTRACOMB (HDL400)</t>
  </si>
  <si>
    <t>ULTRACOMB</t>
  </si>
  <si>
    <t>23.518% - $ 38800</t>
  </si>
  <si>
    <t/>
  </si>
  <si>
    <t>public:</t>
  </si>
  <si>
    <t>Bienvenido/a soy Fina tu asesora de  Políticas Financieras en revista</t>
  </si>
  <si>
    <t>Con Garantía Extendida:</t>
  </si>
  <si>
    <t>Cliente Externo</t>
  </si>
  <si>
    <t>Afiliados</t>
  </si>
  <si>
    <t>finan:</t>
  </si>
  <si>
    <t>Desc:</t>
  </si>
  <si>
    <t>Tipo de Oferta</t>
  </si>
  <si>
    <t>cuotas hasta</t>
  </si>
  <si>
    <t>Publicado en</t>
  </si>
  <si>
    <t>Según la</t>
  </si>
  <si>
    <t>política:</t>
  </si>
  <si>
    <t>Valores Aproximados de Cuotas</t>
  </si>
  <si>
    <t>Comentario: &gt;&gt;&gt;&gt;&gt;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</si>
</sst>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yyyy\-mm\-dd;@"/>
    <numFmt numFmtId="165" formatCode="&quot;Oferta: &quot;&quot;$&quot;#,##0_);\ &quot;Oferta: &quot;\ \(&quot;$&quot;#,##0\)"/>
    <numFmt numFmtId="166" formatCode="_-* #,##0.00000000_-;\-* #,##0.00000000_-;_-* &quot;-&quot;??_-;_-@_-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 tint="-0.14999847407452621"/>
      <name val="Calibri"/>
      <family val="2"/>
      <scheme val="minor"/>
    </font>
    <font>
      <sz val="12"/>
      <color theme="0" tint="-0.14999847407452621"/>
      <name val="Bahnschrift Condensed"/>
      <family val="2"/>
    </font>
    <font>
      <sz val="11"/>
      <color theme="1"/>
      <name val="Felix Titling"/>
      <family val="5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11"/>
      <color theme="4" tint="-0.249977111117893"/>
      <name val="Calibri"/>
      <family val="2"/>
      <scheme val="minor"/>
    </font>
    <font>
      <sz val="10"/>
      <color theme="4" tint="-0.249977111117893"/>
      <name val="Arial"/>
      <family val="2"/>
    </font>
    <font>
      <sz val="11"/>
      <color theme="3" tint="-0.249977111117893"/>
      <name val="Calibri"/>
      <family val="2"/>
      <scheme val="minor"/>
    </font>
    <font>
      <sz val="10"/>
      <color theme="3" tint="-0.249977111117893"/>
      <name val="Arial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FFFFFF"/>
      <name val="Calibri"/>
      <family val="2"/>
      <scheme val="minor"/>
    </font>
    <font>
      <sz val="9"/>
      <color rgb="FF6C757D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2" tint="-0.499984740745262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FFFFFF"/>
      <name val="Calibri"/>
      <family val="2"/>
    </font>
    <font>
      <sz val="8"/>
      <color theme="1"/>
      <name val="Calibri"/>
      <family val="2"/>
    </font>
    <font>
      <b/>
      <sz val="10"/>
      <color rgb="FFFFFFFF"/>
      <name val="Calibri"/>
      <family val="2"/>
      <scheme val="minor"/>
    </font>
    <font>
      <sz val="12"/>
      <color theme="7" tint="0.59999389629810485"/>
      <name val="Calibri"/>
      <family val="2"/>
    </font>
    <font>
      <i/>
      <sz val="12"/>
      <color rgb="FF7D6608"/>
      <name val="Calibri"/>
      <family val="2"/>
    </font>
    <font>
      <b/>
      <i/>
      <sz val="11"/>
      <color rgb="FF1F4E79"/>
      <name val="Calibri"/>
      <family val="2"/>
      <scheme val="minor"/>
    </font>
    <font>
      <b/>
      <sz val="12"/>
      <color rgb="FF1F4E79"/>
      <name val="Calibri"/>
      <family val="2"/>
    </font>
    <font>
      <b/>
      <i/>
      <sz val="12"/>
      <color rgb="FF44546A"/>
      <name val="Calibri"/>
      <family val="2"/>
      <scheme val="minor"/>
    </font>
    <font>
      <b/>
      <sz val="9"/>
      <color rgb="FF806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sz val="12"/>
      <color rgb="FF375623"/>
      <name val="Calibri"/>
      <family val="2"/>
    </font>
    <font>
      <sz val="9"/>
      <color rgb="FFC65911"/>
      <name val="Calibri"/>
      <family val="2"/>
    </font>
    <font>
      <b/>
      <sz val="12"/>
      <color rgb="FF404040"/>
      <name val="Calibri"/>
      <family val="2"/>
    </font>
    <font>
      <i/>
      <sz val="12"/>
      <color rgb="FF843C0C"/>
      <name val="Calibri"/>
      <family val="2"/>
    </font>
    <font>
      <b/>
      <i/>
      <sz val="12"/>
      <color rgb="FF843C0C"/>
      <name val="Calibri"/>
      <family val="2"/>
    </font>
    <font>
      <b/>
      <sz val="9"/>
      <color rgb="FF808080"/>
      <name val="Calibri"/>
      <family val="2"/>
      <scheme val="minor"/>
    </font>
    <font>
      <sz val="9"/>
      <color rgb="FF808080"/>
      <name val="Calibri"/>
      <family val="2"/>
      <scheme val="minor"/>
    </font>
    <font>
      <sz val="12"/>
      <color rgb="FFD9D9D9"/>
      <name val="Calibri"/>
      <family val="2"/>
    </font>
    <font>
      <b/>
      <sz val="11"/>
      <color theme="4" tint="-0.249977111117893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sz val="8"/>
      <color theme="9" tint="-0.249977111117893"/>
      <name val="Calibri"/>
      <family val="2"/>
    </font>
    <font>
      <b/>
      <sz val="8"/>
      <color theme="9" tint="-0.249977111117893"/>
      <name val="Calibri"/>
      <family val="2"/>
    </font>
    <font>
      <sz val="12"/>
      <color theme="9" tint="-0.249977111117893"/>
      <name val="Calibri"/>
      <family val="2"/>
    </font>
    <font>
      <sz val="7"/>
      <color rgb="FF2C3E50"/>
      <name val="Calibri"/>
      <family val="2"/>
    </font>
    <font>
      <sz val="8"/>
      <color rgb="FFD9D9D9"/>
      <name val="Calibri"/>
      <family val="2"/>
    </font>
    <font>
      <b/>
      <sz val="12"/>
      <color rgb="FF44546A"/>
      <name val="Calibri"/>
      <family val="2"/>
    </font>
  </fonts>
  <fills count="5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  <fill>
      <gradientFill degree="90">
        <stop position="0">
          <color theme="2" tint="-0.74901577806939912"/>
        </stop>
        <stop position="0.5">
          <color theme="4" tint="-0.25098422193060094"/>
        </stop>
        <stop position="1">
          <color theme="2" tint="-0.74901577806939912"/>
        </stop>
      </gradient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rgb="FF1E3A5F"/>
      </top>
      <bottom/>
      <diagonal/>
    </border>
    <border>
      <left/>
      <right/>
      <top/>
      <bottom style="medium">
        <color rgb="FF1E3A5F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rgb="FF3498DB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rgb="FF3498DB"/>
      </bottom>
      <diagonal/>
    </border>
    <border>
      <left/>
      <right style="thin">
        <color rgb="FF3498DB"/>
      </right>
      <top/>
      <bottom style="thin">
        <color rgb="FF3498DB"/>
      </bottom>
      <diagonal/>
    </border>
    <border>
      <left style="thin">
        <color rgb="FFF39C12"/>
      </left>
      <right/>
      <top/>
      <bottom/>
      <diagonal/>
    </border>
    <border>
      <left/>
      <right style="thin">
        <color rgb="FFF39C12"/>
      </right>
      <top style="thin">
        <color rgb="FFF39C12"/>
      </top>
      <bottom/>
      <diagonal/>
    </border>
    <border>
      <left/>
      <right style="thin">
        <color rgb="FFF39C12"/>
      </right>
      <top/>
      <bottom/>
      <diagonal/>
    </border>
    <border>
      <left/>
      <right style="thin">
        <color rgb="FFF39C12"/>
      </right>
      <top/>
      <bottom style="thin">
        <color rgb="FFF39C12"/>
      </bottom>
      <diagonal/>
    </border>
    <border>
      <left/>
      <right style="thin">
        <color rgb="FF1E3A5F"/>
      </right>
      <top style="thin">
        <color rgb="FF1E3A5F"/>
      </top>
      <bottom/>
      <diagonal/>
    </border>
    <border>
      <left/>
      <right style="thin">
        <color rgb="FF1E3A5F"/>
      </right>
      <top style="medium">
        <color indexed="64"/>
      </top>
      <bottom style="medium">
        <color indexed="64"/>
      </bottom>
      <diagonal/>
    </border>
    <border>
      <left/>
      <right style="thin">
        <color rgb="FF1E3A5F"/>
      </right>
      <top/>
      <bottom style="thin">
        <color rgb="FF1E3A5F"/>
      </bottom>
      <diagonal/>
    </border>
    <border>
      <left/>
      <right/>
      <top/>
      <bottom style="medium">
        <color rgb="FF1F4E79"/>
      </bottom>
      <diagonal/>
    </border>
    <border>
      <left style="medium">
        <color indexed="64"/>
      </left>
      <right/>
      <top style="medium">
        <color rgb="FF1F4E79"/>
      </top>
      <bottom style="thin">
        <color rgb="FF1F4E79"/>
      </bottom>
      <diagonal/>
    </border>
    <border>
      <left/>
      <right/>
      <top style="medium">
        <color rgb="FF1F4E79"/>
      </top>
      <bottom style="thin">
        <color rgb="FF1F4E79"/>
      </bottom>
      <diagonal/>
    </border>
    <border>
      <left/>
      <right style="medium">
        <color indexed="64"/>
      </right>
      <top style="medium">
        <color rgb="FF1F4E79"/>
      </top>
      <bottom style="thin">
        <color rgb="FF1F4E79"/>
      </bottom>
      <diagonal/>
    </border>
    <border>
      <left style="medium">
        <color rgb="FF2E75B6"/>
      </left>
      <right/>
      <top style="thin">
        <color rgb="FF1E3A5F"/>
      </top>
      <bottom/>
      <diagonal/>
    </border>
    <border>
      <left style="medium">
        <color rgb="FF2E75B6"/>
      </left>
      <right/>
      <top style="medium">
        <color indexed="64"/>
      </top>
      <bottom/>
      <diagonal/>
    </border>
    <border>
      <left style="thin">
        <color rgb="FF1E3A5F"/>
      </left>
      <right/>
      <top style="medium">
        <color indexed="64"/>
      </top>
      <bottom style="medium">
        <color rgb="FF806000"/>
      </bottom>
      <diagonal/>
    </border>
    <border>
      <left/>
      <right style="thin">
        <color rgb="FF3498DB"/>
      </right>
      <top style="thin">
        <color rgb="FF3498DB"/>
      </top>
      <bottom style="thin">
        <color indexed="64"/>
      </bottom>
      <diagonal/>
    </border>
    <border>
      <left style="thick">
        <color rgb="FF548235"/>
      </left>
      <right/>
      <top style="thin">
        <color rgb="FF3498DB"/>
      </top>
      <bottom/>
      <diagonal/>
    </border>
    <border>
      <left style="thick">
        <color rgb="FF548235"/>
      </left>
      <right/>
      <top/>
      <bottom style="thin">
        <color rgb="FF3498DB"/>
      </bottom>
      <diagonal/>
    </border>
    <border>
      <left style="thin">
        <color rgb="FFF39C12"/>
      </left>
      <right/>
      <top style="medium">
        <color rgb="FFF4B183"/>
      </top>
      <bottom/>
      <diagonal/>
    </border>
    <border>
      <left/>
      <right/>
      <top style="medium">
        <color rgb="FFF4B183"/>
      </top>
      <bottom/>
      <diagonal/>
    </border>
    <border>
      <left style="thin">
        <color rgb="FFF39C12"/>
      </left>
      <right/>
      <top/>
      <bottom style="medium">
        <color rgb="FFF4B183"/>
      </bottom>
      <diagonal/>
    </border>
    <border>
      <left/>
      <right/>
      <top/>
      <bottom style="medium">
        <color rgb="FFF4B183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thick">
        <color rgb="FF5B9BD5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ck">
        <color rgb="FFD9D9D9"/>
      </left>
      <right/>
      <top style="medium">
        <color rgb="FF1E3A5F"/>
      </top>
      <bottom/>
      <diagonal/>
    </border>
    <border>
      <left style="thick">
        <color rgb="FFD9D9D9"/>
      </left>
      <right/>
      <top/>
      <bottom style="medium">
        <color rgb="FF1E3A5F"/>
      </bottom>
      <diagonal/>
    </border>
    <border>
      <left style="thick">
        <color rgb="FFD9D9D9"/>
      </left>
      <right/>
      <top/>
      <bottom/>
      <diagonal/>
    </border>
    <border>
      <left/>
      <right style="thin">
        <color rgb="FFD9D9D9"/>
      </right>
      <top style="medium">
        <color rgb="FF1F4E79"/>
      </top>
      <bottom style="thin">
        <color rgb="FF1F4E79"/>
      </bottom>
      <diagonal/>
    </border>
    <border>
      <left/>
      <right style="thin">
        <color rgb="FFD9D9D9"/>
      </right>
      <top/>
      <bottom style="medium">
        <color rgb="FF1E3A5F"/>
      </bottom>
      <diagonal/>
    </border>
    <border>
      <left/>
      <right style="thin">
        <color rgb="FFD9D9D9"/>
      </right>
      <top/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3" fillId="2" borderId="0" applyNumberFormat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1">
    <xf numFmtId="0" fontId="0" fillId="0" borderId="0" xfId="0"/>
    <xf numFmtId="0" fontId="0" fillId="3" borderId="1" xfId="0" applyFill="1" applyBorder="1"/>
    <xf numFmtId="0" fontId="4" fillId="0" borderId="1" xfId="0" applyFont="1" applyBorder="1"/>
    <xf numFmtId="0" fontId="0" fillId="0" borderId="1" xfId="0" applyBorder="1"/>
    <xf numFmtId="0" fontId="0" fillId="4" borderId="1" xfId="0" applyFill="1" applyBorder="1" applyAlignment="1">
      <alignment horizontal="center"/>
    </xf>
    <xf numFmtId="0" fontId="5" fillId="5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0" fillId="5" borderId="0" xfId="0" applyFill="1"/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  <xf numFmtId="0" fontId="8" fillId="7" borderId="4" xfId="0" quotePrefix="1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4" fontId="0" fillId="0" borderId="1" xfId="3" applyNumberFormat="1" applyFont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4" fontId="0" fillId="0" borderId="1" xfId="3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textRotation="90"/>
    </xf>
    <xf numFmtId="14" fontId="0" fillId="0" borderId="0" xfId="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/>
    </xf>
    <xf numFmtId="44" fontId="5" fillId="18" borderId="1" xfId="1" applyFont="1" applyFill="1" applyBorder="1"/>
    <xf numFmtId="0" fontId="5" fillId="19" borderId="1" xfId="0" applyFont="1" applyFill="1" applyBorder="1" applyAlignment="1">
      <alignment horizontal="center"/>
    </xf>
    <xf numFmtId="44" fontId="5" fillId="19" borderId="1" xfId="1" applyFont="1" applyFill="1" applyBorder="1"/>
    <xf numFmtId="44" fontId="5" fillId="4" borderId="1" xfId="4" applyNumberFormat="1" applyFont="1" applyFill="1" applyBorder="1" applyAlignment="1">
      <alignment horizontal="center"/>
    </xf>
    <xf numFmtId="44" fontId="0" fillId="4" borderId="1" xfId="1" applyFont="1" applyFill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0" xfId="0" quotePrefix="1"/>
    <xf numFmtId="164" fontId="5" fillId="5" borderId="0" xfId="0" applyNumberFormat="1" applyFont="1" applyFill="1" applyAlignment="1">
      <alignment horizontal="center" vertical="center"/>
    </xf>
    <xf numFmtId="14" fontId="0" fillId="0" borderId="0" xfId="0" applyNumberFormat="1"/>
    <xf numFmtId="14" fontId="0" fillId="0" borderId="1" xfId="3" applyNumberFormat="1" applyFont="1" applyBorder="1" applyAlignment="1">
      <alignment horizontal="right" vertical="center" wrapText="1"/>
    </xf>
    <xf numFmtId="14" fontId="0" fillId="0" borderId="1" xfId="3" applyNumberFormat="1" applyFont="1" applyBorder="1" applyAlignment="1">
      <alignment horizontal="right" vertical="center"/>
    </xf>
    <xf numFmtId="9" fontId="0" fillId="0" borderId="0" xfId="4" applyFont="1"/>
    <xf numFmtId="6" fontId="0" fillId="0" borderId="1" xfId="1" applyNumberFormat="1" applyFont="1" applyBorder="1" applyAlignment="1">
      <alignment horizontal="center"/>
    </xf>
    <xf numFmtId="0" fontId="13" fillId="0" borderId="1" xfId="0" applyFont="1" applyBorder="1"/>
    <xf numFmtId="0" fontId="12" fillId="0" borderId="1" xfId="0" applyFont="1" applyBorder="1"/>
    <xf numFmtId="9" fontId="15" fillId="0" borderId="1" xfId="4" applyFont="1" applyBorder="1" applyAlignment="1">
      <alignment horizontal="center"/>
    </xf>
    <xf numFmtId="0" fontId="0" fillId="8" borderId="0" xfId="0" applyFill="1"/>
    <xf numFmtId="0" fontId="17" fillId="3" borderId="1" xfId="0" applyFont="1" applyFill="1" applyBorder="1"/>
    <xf numFmtId="0" fontId="18" fillId="0" borderId="1" xfId="0" applyFont="1" applyBorder="1"/>
    <xf numFmtId="0" fontId="17" fillId="0" borderId="1" xfId="0" applyFont="1" applyBorder="1"/>
    <xf numFmtId="6" fontId="17" fillId="0" borderId="1" xfId="1" applyNumberFormat="1" applyFont="1" applyBorder="1" applyAlignment="1">
      <alignment horizontal="center"/>
    </xf>
    <xf numFmtId="44" fontId="4" fillId="8" borderId="1" xfId="1" applyFont="1" applyFill="1" applyBorder="1"/>
    <xf numFmtId="44" fontId="16" fillId="8" borderId="1" xfId="1" applyFont="1" applyFill="1" applyBorder="1"/>
    <xf numFmtId="44" fontId="14" fillId="8" borderId="1" xfId="1" applyFont="1" applyFill="1" applyBorder="1"/>
    <xf numFmtId="44" fontId="4" fillId="18" borderId="1" xfId="1" applyFont="1" applyFill="1" applyBorder="1"/>
    <xf numFmtId="44" fontId="18" fillId="18" borderId="1" xfId="1" applyFont="1" applyFill="1" applyBorder="1"/>
    <xf numFmtId="44" fontId="13" fillId="18" borderId="1" xfId="1" applyFont="1" applyFill="1" applyBorder="1"/>
    <xf numFmtId="0" fontId="0" fillId="18" borderId="0" xfId="0" applyFill="1"/>
    <xf numFmtId="9" fontId="0" fillId="0" borderId="1" xfId="4" applyFont="1" applyBorder="1" applyAlignment="1">
      <alignment horizontal="center"/>
    </xf>
    <xf numFmtId="9" fontId="0" fillId="4" borderId="1" xfId="4" applyFont="1" applyFill="1" applyBorder="1"/>
    <xf numFmtId="0" fontId="17" fillId="21" borderId="1" xfId="0" applyFont="1" applyFill="1" applyBorder="1"/>
    <xf numFmtId="0" fontId="18" fillId="21" borderId="1" xfId="0" applyFont="1" applyFill="1" applyBorder="1"/>
    <xf numFmtId="44" fontId="18" fillId="21" borderId="1" xfId="1" applyFont="1" applyFill="1" applyBorder="1"/>
    <xf numFmtId="6" fontId="17" fillId="21" borderId="1" xfId="1" applyNumberFormat="1" applyFont="1" applyFill="1" applyBorder="1" applyAlignment="1">
      <alignment horizontal="center"/>
    </xf>
    <xf numFmtId="44" fontId="4" fillId="21" borderId="1" xfId="1" applyFont="1" applyFill="1" applyBorder="1"/>
    <xf numFmtId="0" fontId="0" fillId="21" borderId="1" xfId="0" applyFill="1" applyBorder="1"/>
    <xf numFmtId="9" fontId="0" fillId="21" borderId="1" xfId="4" applyFon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44" fontId="0" fillId="21" borderId="1" xfId="1" applyFont="1" applyFill="1" applyBorder="1"/>
    <xf numFmtId="9" fontId="0" fillId="21" borderId="1" xfId="4" applyFont="1" applyFill="1" applyBorder="1"/>
    <xf numFmtId="0" fontId="5" fillId="21" borderId="1" xfId="0" applyFont="1" applyFill="1" applyBorder="1" applyAlignment="1">
      <alignment horizontal="center"/>
    </xf>
    <xf numFmtId="44" fontId="5" fillId="21" borderId="1" xfId="1" applyFont="1" applyFill="1" applyBorder="1"/>
    <xf numFmtId="0" fontId="0" fillId="21" borderId="0" xfId="0" applyFill="1"/>
    <xf numFmtId="44" fontId="5" fillId="21" borderId="1" xfId="4" applyNumberFormat="1" applyFont="1" applyFill="1" applyBorder="1" applyAlignment="1">
      <alignment horizontal="center"/>
    </xf>
    <xf numFmtId="0" fontId="0" fillId="21" borderId="0" xfId="0" applyFill="1" applyAlignment="1">
      <alignment horizontal="center"/>
    </xf>
    <xf numFmtId="0" fontId="5" fillId="21" borderId="0" xfId="0" applyFont="1" applyFill="1" applyAlignment="1">
      <alignment horizontal="center"/>
    </xf>
    <xf numFmtId="0" fontId="5" fillId="21" borderId="0" xfId="0" applyFont="1" applyFill="1"/>
    <xf numFmtId="44" fontId="18" fillId="18" borderId="1" xfId="1" applyFont="1" applyFill="1" applyBorder="1" applyProtection="1"/>
    <xf numFmtId="6" fontId="17" fillId="0" borderId="1" xfId="1" applyNumberFormat="1" applyFont="1" applyBorder="1" applyAlignment="1" applyProtection="1">
      <alignment horizontal="center"/>
    </xf>
    <xf numFmtId="44" fontId="4" fillId="8" borderId="1" xfId="1" applyFont="1" applyFill="1" applyBorder="1" applyProtection="1"/>
    <xf numFmtId="9" fontId="0" fillId="0" borderId="1" xfId="4" applyFont="1" applyBorder="1" applyAlignment="1" applyProtection="1">
      <alignment horizontal="center"/>
    </xf>
    <xf numFmtId="44" fontId="0" fillId="4" borderId="1" xfId="1" applyFont="1" applyFill="1" applyBorder="1" applyProtection="1"/>
    <xf numFmtId="9" fontId="0" fillId="4" borderId="1" xfId="4" applyFont="1" applyFill="1" applyBorder="1" applyProtection="1"/>
    <xf numFmtId="44" fontId="5" fillId="18" borderId="1" xfId="1" applyFont="1" applyFill="1" applyBorder="1" applyProtection="1"/>
    <xf numFmtId="44" fontId="5" fillId="19" borderId="1" xfId="1" applyFont="1" applyFill="1" applyBorder="1" applyProtection="1"/>
    <xf numFmtId="44" fontId="5" fillId="4" borderId="1" xfId="4" applyNumberFormat="1" applyFont="1" applyFill="1" applyBorder="1" applyAlignment="1" applyProtection="1">
      <alignment horizontal="center"/>
    </xf>
    <xf numFmtId="0" fontId="19" fillId="0" borderId="13" xfId="0" applyFont="1" applyBorder="1"/>
    <xf numFmtId="0" fontId="19" fillId="23" borderId="13" xfId="0" applyFont="1" applyFill="1" applyBorder="1"/>
    <xf numFmtId="0" fontId="20" fillId="24" borderId="13" xfId="0" applyFont="1" applyFill="1" applyBorder="1"/>
    <xf numFmtId="0" fontId="20" fillId="25" borderId="13" xfId="0" applyFont="1" applyFill="1" applyBorder="1"/>
    <xf numFmtId="0" fontId="19" fillId="0" borderId="0" xfId="0" applyFont="1"/>
    <xf numFmtId="0" fontId="20" fillId="23" borderId="1" xfId="0" applyFont="1" applyFill="1" applyBorder="1"/>
    <xf numFmtId="0" fontId="20" fillId="0" borderId="0" xfId="0" applyFont="1"/>
    <xf numFmtId="14" fontId="19" fillId="0" borderId="0" xfId="0" applyNumberFormat="1" applyFont="1"/>
    <xf numFmtId="0" fontId="19" fillId="0" borderId="15" xfId="0" applyFont="1" applyBorder="1"/>
    <xf numFmtId="0" fontId="19" fillId="22" borderId="15" xfId="0" applyFont="1" applyFill="1" applyBorder="1"/>
    <xf numFmtId="0" fontId="19" fillId="23" borderId="15" xfId="0" applyFont="1" applyFill="1" applyBorder="1"/>
    <xf numFmtId="0" fontId="20" fillId="24" borderId="15" xfId="0" applyFont="1" applyFill="1" applyBorder="1"/>
    <xf numFmtId="0" fontId="20" fillId="25" borderId="15" xfId="0" applyFont="1" applyFill="1" applyBorder="1"/>
    <xf numFmtId="0" fontId="20" fillId="23" borderId="14" xfId="0" applyFont="1" applyFill="1" applyBorder="1"/>
    <xf numFmtId="0" fontId="19" fillId="22" borderId="16" xfId="0" applyFont="1" applyFill="1" applyBorder="1"/>
    <xf numFmtId="0" fontId="19" fillId="0" borderId="16" xfId="0" applyFont="1" applyBorder="1"/>
    <xf numFmtId="9" fontId="17" fillId="0" borderId="1" xfId="4" applyFont="1" applyBorder="1"/>
    <xf numFmtId="0" fontId="17" fillId="3" borderId="1" xfId="0" applyFont="1" applyFill="1" applyBorder="1" applyAlignment="1">
      <alignment horizontal="right" indent="1"/>
    </xf>
    <xf numFmtId="9" fontId="0" fillId="0" borderId="0" xfId="4" applyFont="1" applyProtection="1"/>
    <xf numFmtId="0" fontId="22" fillId="30" borderId="0" xfId="0" applyFont="1" applyFill="1"/>
    <xf numFmtId="0" fontId="26" fillId="26" borderId="29" xfId="0" applyFont="1" applyFill="1" applyBorder="1"/>
    <xf numFmtId="0" fontId="31" fillId="29" borderId="24" xfId="0" applyFont="1" applyFill="1" applyBorder="1"/>
    <xf numFmtId="0" fontId="26" fillId="26" borderId="23" xfId="0" applyFont="1" applyFill="1" applyBorder="1"/>
    <xf numFmtId="0" fontId="26" fillId="26" borderId="0" xfId="0" applyFont="1" applyFill="1"/>
    <xf numFmtId="0" fontId="31" fillId="29" borderId="25" xfId="0" applyFont="1" applyFill="1" applyBorder="1"/>
    <xf numFmtId="0" fontId="31" fillId="29" borderId="26" xfId="0" applyFont="1" applyFill="1" applyBorder="1"/>
    <xf numFmtId="0" fontId="21" fillId="35" borderId="0" xfId="0" applyFont="1" applyFill="1" applyAlignment="1">
      <alignment horizontal="center"/>
    </xf>
    <xf numFmtId="0" fontId="33" fillId="36" borderId="27" xfId="0" applyFont="1" applyFill="1" applyBorder="1"/>
    <xf numFmtId="0" fontId="33" fillId="36" borderId="28" xfId="0" applyFont="1" applyFill="1" applyBorder="1" applyAlignment="1">
      <alignment horizontal="center"/>
    </xf>
    <xf numFmtId="0" fontId="37" fillId="39" borderId="20" xfId="0" applyFont="1" applyFill="1" applyBorder="1" applyAlignment="1">
      <alignment horizontal="center" vertical="center"/>
    </xf>
    <xf numFmtId="0" fontId="37" fillId="39" borderId="21" xfId="0" applyFont="1" applyFill="1" applyBorder="1" applyAlignment="1">
      <alignment horizontal="left" vertical="center" indent="2"/>
    </xf>
    <xf numFmtId="0" fontId="38" fillId="40" borderId="0" xfId="0" applyFont="1" applyFill="1"/>
    <xf numFmtId="0" fontId="39" fillId="42" borderId="6" xfId="0" applyFont="1" applyFill="1" applyBorder="1" applyAlignment="1">
      <alignment horizontal="left" vertical="center" indent="2"/>
    </xf>
    <xf numFmtId="0" fontId="40" fillId="44" borderId="0" xfId="0" applyFont="1" applyFill="1"/>
    <xf numFmtId="0" fontId="42" fillId="45" borderId="0" xfId="0" applyFont="1" applyFill="1"/>
    <xf numFmtId="0" fontId="32" fillId="34" borderId="31" xfId="0" applyFont="1" applyFill="1" applyBorder="1"/>
    <xf numFmtId="0" fontId="32" fillId="34" borderId="32" xfId="0" applyFont="1" applyFill="1" applyBorder="1"/>
    <xf numFmtId="0" fontId="33" fillId="36" borderId="34" xfId="0" applyFont="1" applyFill="1" applyBorder="1" applyAlignment="1">
      <alignment horizontal="center" vertical="center"/>
    </xf>
    <xf numFmtId="0" fontId="33" fillId="36" borderId="35" xfId="0" applyFont="1" applyFill="1" applyBorder="1" applyAlignment="1">
      <alignment horizontal="center"/>
    </xf>
    <xf numFmtId="0" fontId="35" fillId="38" borderId="36" xfId="0" applyFont="1" applyFill="1" applyBorder="1"/>
    <xf numFmtId="9" fontId="38" fillId="40" borderId="37" xfId="4" applyFont="1" applyFill="1" applyBorder="1" applyAlignment="1">
      <alignment horizontal="center" vertical="center"/>
    </xf>
    <xf numFmtId="0" fontId="36" fillId="39" borderId="38" xfId="0" applyFont="1" applyFill="1" applyBorder="1" applyAlignment="1">
      <alignment vertical="center"/>
    </xf>
    <xf numFmtId="0" fontId="36" fillId="39" borderId="39" xfId="0" applyFont="1" applyFill="1" applyBorder="1" applyAlignment="1">
      <alignment horizontal="right" vertical="center" indent="1"/>
    </xf>
    <xf numFmtId="0" fontId="27" fillId="43" borderId="40" xfId="0" applyFont="1" applyFill="1" applyBorder="1"/>
    <xf numFmtId="0" fontId="40" fillId="44" borderId="41" xfId="0" applyFont="1" applyFill="1" applyBorder="1"/>
    <xf numFmtId="0" fontId="26" fillId="26" borderId="42" xfId="0" applyFont="1" applyFill="1" applyBorder="1"/>
    <xf numFmtId="0" fontId="26" fillId="26" borderId="43" xfId="0" applyFont="1" applyFill="1" applyBorder="1"/>
    <xf numFmtId="0" fontId="41" fillId="44" borderId="43" xfId="0" applyFont="1" applyFill="1" applyBorder="1"/>
    <xf numFmtId="0" fontId="44" fillId="28" borderId="6" xfId="0" applyFont="1" applyFill="1" applyBorder="1" applyAlignment="1">
      <alignment horizontal="left" vertical="center" indent="2"/>
    </xf>
    <xf numFmtId="0" fontId="44" fillId="28" borderId="19" xfId="0" applyFont="1" applyFill="1" applyBorder="1" applyAlignment="1">
      <alignment horizontal="left" vertical="center" indent="2"/>
    </xf>
    <xf numFmtId="0" fontId="34" fillId="37" borderId="0" xfId="0" applyFont="1" applyFill="1" applyAlignment="1">
      <alignment horizontal="right" vertical="center"/>
    </xf>
    <xf numFmtId="1" fontId="24" fillId="33" borderId="46" xfId="0" applyNumberFormat="1" applyFont="1" applyFill="1" applyBorder="1" applyAlignment="1">
      <alignment horizontal="center" wrapText="1"/>
    </xf>
    <xf numFmtId="0" fontId="25" fillId="26" borderId="48" xfId="0" applyFont="1" applyFill="1" applyBorder="1" applyAlignment="1">
      <alignment horizontal="center"/>
    </xf>
    <xf numFmtId="0" fontId="30" fillId="26" borderId="48" xfId="0" applyFont="1" applyFill="1" applyBorder="1"/>
    <xf numFmtId="44" fontId="29" fillId="35" borderId="49" xfId="1" applyFont="1" applyFill="1" applyBorder="1"/>
    <xf numFmtId="0" fontId="26" fillId="26" borderId="51" xfId="0" applyFont="1" applyFill="1" applyBorder="1"/>
    <xf numFmtId="44" fontId="38" fillId="40" borderId="51" xfId="1" applyFont="1" applyFill="1" applyBorder="1"/>
    <xf numFmtId="0" fontId="26" fillId="47" borderId="0" xfId="0" applyFont="1" applyFill="1"/>
    <xf numFmtId="0" fontId="28" fillId="47" borderId="51" xfId="0" applyFont="1" applyFill="1" applyBorder="1"/>
    <xf numFmtId="0" fontId="26" fillId="47" borderId="51" xfId="0" applyFont="1" applyFill="1" applyBorder="1"/>
    <xf numFmtId="0" fontId="45" fillId="48" borderId="47" xfId="0" applyFont="1" applyFill="1" applyBorder="1" applyAlignment="1">
      <alignment horizontal="left"/>
    </xf>
    <xf numFmtId="16" fontId="47" fillId="46" borderId="0" xfId="0" applyNumberFormat="1" applyFont="1" applyFill="1" applyAlignment="1">
      <alignment horizontal="center"/>
    </xf>
    <xf numFmtId="0" fontId="47" fillId="16" borderId="0" xfId="0" applyFont="1" applyFill="1" applyAlignment="1">
      <alignment horizontal="center"/>
    </xf>
    <xf numFmtId="0" fontId="26" fillId="19" borderId="41" xfId="0" applyFont="1" applyFill="1" applyBorder="1"/>
    <xf numFmtId="165" fontId="46" fillId="49" borderId="33" xfId="0" applyNumberFormat="1" applyFont="1" applyFill="1" applyBorder="1" applyAlignment="1">
      <alignment horizontal="center"/>
    </xf>
    <xf numFmtId="44" fontId="49" fillId="39" borderId="0" xfId="1" applyFont="1" applyFill="1" applyBorder="1" applyAlignment="1">
      <alignment vertical="center"/>
    </xf>
    <xf numFmtId="44" fontId="48" fillId="39" borderId="0" xfId="1" applyFont="1" applyFill="1" applyBorder="1" applyAlignment="1">
      <alignment vertical="center"/>
    </xf>
    <xf numFmtId="0" fontId="50" fillId="28" borderId="0" xfId="0" applyFont="1" applyFill="1"/>
    <xf numFmtId="0" fontId="51" fillId="27" borderId="22" xfId="0" applyFont="1" applyFill="1" applyBorder="1" applyAlignment="1">
      <alignment horizontal="left" indent="2"/>
    </xf>
    <xf numFmtId="0" fontId="10" fillId="26" borderId="0" xfId="0" applyFont="1" applyFill="1"/>
    <xf numFmtId="166" fontId="17" fillId="0" borderId="1" xfId="3" applyNumberFormat="1" applyFont="1" applyBorder="1" applyAlignment="1">
      <alignment horizontal="center"/>
    </xf>
    <xf numFmtId="44" fontId="17" fillId="0" borderId="1" xfId="1" applyFont="1" applyBorder="1"/>
    <xf numFmtId="0" fontId="43" fillId="45" borderId="0" xfId="0" applyFont="1" applyFill="1"/>
    <xf numFmtId="0" fontId="22" fillId="0" borderId="0" xfId="0" applyFont="1"/>
    <xf numFmtId="9" fontId="22" fillId="0" borderId="0" xfId="0" applyNumberFormat="1" applyFont="1"/>
    <xf numFmtId="10" fontId="17" fillId="0" borderId="1" xfId="4" applyNumberFormat="1" applyFont="1" applyBorder="1" applyAlignment="1">
      <alignment horizontal="center"/>
    </xf>
    <xf numFmtId="10" fontId="12" fillId="0" borderId="1" xfId="4" applyNumberFormat="1" applyFont="1" applyBorder="1" applyAlignment="1">
      <alignment horizontal="center"/>
    </xf>
    <xf numFmtId="10" fontId="0" fillId="0" borderId="1" xfId="4" applyNumberFormat="1" applyFont="1" applyBorder="1" applyAlignment="1">
      <alignment horizontal="center"/>
    </xf>
    <xf numFmtId="0" fontId="52" fillId="26" borderId="44" xfId="0" applyFont="1" applyFill="1" applyBorder="1" applyAlignment="1">
      <alignment horizontal="left" vertical="center" indent="2"/>
    </xf>
    <xf numFmtId="0" fontId="53" fillId="41" borderId="45" xfId="0" applyFont="1" applyFill="1" applyBorder="1" applyAlignment="1">
      <alignment horizontal="left" vertical="center" indent="2"/>
    </xf>
    <xf numFmtId="0" fontId="1" fillId="16" borderId="0" xfId="0" applyFont="1" applyFill="1"/>
    <xf numFmtId="0" fontId="1" fillId="26" borderId="0" xfId="0" applyFont="1" applyFill="1"/>
    <xf numFmtId="0" fontId="1" fillId="31" borderId="0" xfId="0" applyFont="1" applyFill="1"/>
    <xf numFmtId="0" fontId="1" fillId="31" borderId="0" xfId="0" applyFont="1" applyFill="1" applyAlignment="1">
      <alignment horizontal="center"/>
    </xf>
    <xf numFmtId="0" fontId="1" fillId="26" borderId="17" xfId="0" applyFont="1" applyFill="1" applyBorder="1"/>
    <xf numFmtId="0" fontId="1" fillId="26" borderId="18" xfId="0" applyFont="1" applyFill="1" applyBorder="1"/>
    <xf numFmtId="0" fontId="1" fillId="26" borderId="50" xfId="0" applyFont="1" applyFill="1" applyBorder="1"/>
    <xf numFmtId="0" fontId="1" fillId="0" borderId="0" xfId="0" applyFont="1"/>
    <xf numFmtId="0" fontId="1" fillId="47" borderId="0" xfId="0" applyFont="1" applyFill="1"/>
    <xf numFmtId="0" fontId="1" fillId="47" borderId="51" xfId="0" applyFont="1" applyFill="1" applyBorder="1"/>
    <xf numFmtId="0" fontId="1" fillId="26" borderId="48" xfId="0" applyFont="1" applyFill="1" applyBorder="1"/>
    <xf numFmtId="0" fontId="1" fillId="26" borderId="7" xfId="0" applyFont="1" applyFill="1" applyBorder="1"/>
    <xf numFmtId="0" fontId="1" fillId="26" borderId="8" xfId="0" applyFont="1" applyFill="1" applyBorder="1"/>
    <xf numFmtId="0" fontId="1" fillId="26" borderId="9" xfId="0" applyFont="1" applyFill="1" applyBorder="1"/>
    <xf numFmtId="0" fontId="1" fillId="26" borderId="10" xfId="0" applyFont="1" applyFill="1" applyBorder="1" applyAlignment="1">
      <alignment vertical="top"/>
    </xf>
    <xf numFmtId="0" fontId="1" fillId="26" borderId="10" xfId="0" applyFont="1" applyFill="1" applyBorder="1"/>
    <xf numFmtId="0" fontId="1" fillId="26" borderId="11" xfId="0" applyFont="1" applyFill="1" applyBorder="1"/>
    <xf numFmtId="0" fontId="1" fillId="2" borderId="1" xfId="2" applyFont="1" applyBorder="1"/>
    <xf numFmtId="44" fontId="1" fillId="18" borderId="1" xfId="2" applyNumberFormat="1" applyFont="1" applyFill="1" applyBorder="1"/>
    <xf numFmtId="0" fontId="1" fillId="2" borderId="1" xfId="2" applyFont="1" applyBorder="1" applyAlignment="1">
      <alignment horizontal="center"/>
    </xf>
    <xf numFmtId="0" fontId="1" fillId="8" borderId="1" xfId="2" applyFont="1" applyFill="1" applyBorder="1" applyAlignment="1">
      <alignment horizontal="center"/>
    </xf>
    <xf numFmtId="9" fontId="1" fillId="2" borderId="1" xfId="4" applyFont="1" applyFill="1" applyBorder="1"/>
    <xf numFmtId="0" fontId="1" fillId="2" borderId="1" xfId="2" quotePrefix="1" applyFont="1" applyBorder="1"/>
    <xf numFmtId="0" fontId="1" fillId="17" borderId="1" xfId="0" applyFont="1" applyFill="1" applyBorder="1" applyAlignment="1">
      <alignment horizontal="center"/>
    </xf>
    <xf numFmtId="0" fontId="1" fillId="2" borderId="12" xfId="2" quotePrefix="1" applyFont="1" applyBorder="1" applyAlignment="1">
      <alignment horizontal="center"/>
    </xf>
    <xf numFmtId="0" fontId="1" fillId="20" borderId="1" xfId="0" applyFont="1" applyFill="1" applyBorder="1"/>
    <xf numFmtId="0" fontId="1" fillId="20" borderId="1" xfId="0" applyFont="1" applyFill="1" applyBorder="1" applyAlignment="1">
      <alignment horizontal="left"/>
    </xf>
    <xf numFmtId="0" fontId="1" fillId="20" borderId="1" xfId="0" applyFont="1" applyFill="1" applyBorder="1" applyAlignment="1">
      <alignment horizontal="center"/>
    </xf>
    <xf numFmtId="0" fontId="1" fillId="3" borderId="1" xfId="0" applyFont="1" applyFill="1" applyBorder="1"/>
    <xf numFmtId="9" fontId="1" fillId="0" borderId="1" xfId="4" applyFont="1" applyBorder="1" applyAlignment="1">
      <alignment horizontal="center"/>
    </xf>
    <xf numFmtId="9" fontId="1" fillId="0" borderId="1" xfId="4" applyFont="1" applyFill="1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 applyAlignment="1">
      <alignment horizontal="center"/>
    </xf>
    <xf numFmtId="44" fontId="1" fillId="4" borderId="1" xfId="1" applyFont="1" applyFill="1" applyBorder="1"/>
    <xf numFmtId="9" fontId="1" fillId="4" borderId="1" xfId="4" applyFont="1" applyFill="1" applyBorder="1"/>
    <xf numFmtId="0" fontId="1" fillId="0" borderId="0" xfId="0" applyFont="1" applyAlignment="1">
      <alignment horizontal="center"/>
    </xf>
    <xf numFmtId="14" fontId="1" fillId="0" borderId="0" xfId="0" applyNumberFormat="1" applyFont="1"/>
    <xf numFmtId="44" fontId="1" fillId="0" borderId="1" xfId="1" applyFont="1" applyBorder="1"/>
    <xf numFmtId="166" fontId="1" fillId="0" borderId="1" xfId="3" applyNumberFormat="1" applyFont="1" applyBorder="1" applyAlignment="1">
      <alignment horizontal="center"/>
    </xf>
    <xf numFmtId="10" fontId="1" fillId="0" borderId="1" xfId="4" applyNumberFormat="1" applyFont="1" applyBorder="1" applyAlignment="1">
      <alignment horizontal="center"/>
    </xf>
    <xf numFmtId="6" fontId="1" fillId="0" borderId="1" xfId="1" applyNumberFormat="1" applyFont="1" applyBorder="1" applyAlignment="1">
      <alignment horizontal="center"/>
    </xf>
    <xf numFmtId="14" fontId="1" fillId="21" borderId="0" xfId="0" applyNumberFormat="1" applyFont="1" applyFill="1"/>
    <xf numFmtId="0" fontId="23" fillId="32" borderId="3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textRotation="90"/>
    </xf>
    <xf numFmtId="0" fontId="6" fillId="6" borderId="0" xfId="0" applyFont="1" applyFill="1" applyAlignment="1">
      <alignment horizontal="center" vertical="center" textRotation="90"/>
    </xf>
    <xf numFmtId="0" fontId="7" fillId="6" borderId="2" xfId="0" applyFont="1" applyFill="1" applyBorder="1" applyAlignment="1">
      <alignment horizontal="center" vertical="center" textRotation="90"/>
    </xf>
    <xf numFmtId="0" fontId="7" fillId="6" borderId="0" xfId="0" applyFont="1" applyFill="1" applyAlignment="1">
      <alignment horizontal="center" vertical="center" textRotation="90"/>
    </xf>
    <xf numFmtId="0" fontId="6" fillId="14" borderId="2" xfId="0" applyFont="1" applyFill="1" applyBorder="1" applyAlignment="1">
      <alignment horizontal="center" vertical="center" textRotation="90"/>
    </xf>
    <xf numFmtId="0" fontId="6" fillId="14" borderId="0" xfId="0" applyFont="1" applyFill="1" applyAlignment="1">
      <alignment horizontal="center" vertical="center" textRotation="90"/>
    </xf>
    <xf numFmtId="0" fontId="7" fillId="15" borderId="2" xfId="0" applyFont="1" applyFill="1" applyBorder="1" applyAlignment="1">
      <alignment horizontal="center" vertical="center" textRotation="90"/>
    </xf>
    <xf numFmtId="0" fontId="7" fillId="15" borderId="0" xfId="0" applyFont="1" applyFill="1" applyAlignment="1">
      <alignment horizontal="center" vertical="center" textRotation="90"/>
    </xf>
  </cellXfs>
  <cellStyles count="5">
    <cellStyle name="Énfasis1" xfId="2" builtinId="29"/>
    <cellStyle name="Millares" xfId="3" builtinId="3"/>
    <cellStyle name="Moneda" xfId="1" builtinId="4"/>
    <cellStyle name="Normal" xfId="0" builtinId="0"/>
    <cellStyle name="Porcentaje" xfId="4" builtinId="5"/>
  </cellStyles>
  <dxfs count="27"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7" tint="0.59996337778862885"/>
        </patternFill>
      </fill>
      <border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0" tint="-0.24994659260841701"/>
      </font>
      <fill>
        <patternFill>
          <bgColor rgb="FFFF0000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1028700</xdr:colOff>
      <xdr:row>7</xdr:row>
      <xdr:rowOff>28575</xdr:rowOff>
    </xdr:from>
    <xdr:to>
      <xdr:col>3</xdr:col>
      <xdr:colOff>1330325</xdr:colOff>
      <xdr:row>8</xdr:row>
      <xdr:rowOff>333375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8503506-FF40-4511-8175-979238054E1A}"/>
            </a:ext>
          </a:extLst>
        </xdr:cNvPr>
        <xdr:cNvSpPr>
          <a:spLocks noChangeAspect="1" noChangeArrowheads="1"/>
        </xdr:cNvSpPr>
      </xdr:nvSpPr>
      <xdr:spPr bwMode="auto">
        <a:xfrm>
          <a:off x="3505200" y="1714500"/>
          <a:ext cx="3016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876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E67C66A-562F-4301-BFD8-732364EBE24D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305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876300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2538104E-D6EC-4AC8-982B-41CD41D92AE1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305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17F7EF1F-E164-4A62-B4E7-56F2583B4E48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7D8F665F-93E5-40DF-A6AA-BA63E3B99A3C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B7306D23-3C84-4228-B7CF-CC907AA9B82B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363394F-ACDD-40DB-970B-4E28CA57AD93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16</xdr:row>
      <xdr:rowOff>28575</xdr:rowOff>
    </xdr:from>
    <xdr:ext cx="308882" cy="876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33203C2E-1D60-45A1-A7BB-6F4F1F27D844}"/>
            </a:ext>
          </a:extLst>
        </xdr:cNvPr>
        <xdr:cNvSpPr>
          <a:spLocks noChangeAspect="1" noChangeArrowheads="1"/>
        </xdr:cNvSpPr>
      </xdr:nvSpPr>
      <xdr:spPr bwMode="auto">
        <a:xfrm>
          <a:off x="3505200" y="5953125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876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DB153BB-3B70-40B7-83E0-7008CA3BABED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066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876300"/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2CA607A7-DBE5-4C59-AEC2-A360DED56A17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066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876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43E6216-609A-43F0-BA57-5611C9222B66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447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8763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180C9169-1CFB-41C5-84C8-C1E1C60003EB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447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876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7379291A-ED43-4B1C-B15B-FAA7FF37AF24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447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8763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28104E34-0C21-497C-85A1-E89568AF85ED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447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8</xdr:row>
      <xdr:rowOff>28575</xdr:rowOff>
    </xdr:from>
    <xdr:ext cx="308882" cy="876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AC158764-DD60-41F1-8E8D-64C5679BD464}"/>
            </a:ext>
          </a:extLst>
        </xdr:cNvPr>
        <xdr:cNvSpPr>
          <a:spLocks noChangeAspect="1" noChangeArrowheads="1"/>
        </xdr:cNvSpPr>
      </xdr:nvSpPr>
      <xdr:spPr bwMode="auto">
        <a:xfrm>
          <a:off x="3505200" y="2095500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16</xdr:row>
      <xdr:rowOff>28575</xdr:rowOff>
    </xdr:from>
    <xdr:ext cx="308882" cy="876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5AAD4FF2-2B5B-47AA-A6ED-255C65A3D524}"/>
            </a:ext>
          </a:extLst>
        </xdr:cNvPr>
        <xdr:cNvSpPr>
          <a:spLocks noChangeAspect="1" noChangeArrowheads="1"/>
        </xdr:cNvSpPr>
      </xdr:nvSpPr>
      <xdr:spPr bwMode="auto">
        <a:xfrm>
          <a:off x="3505200" y="5953125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17</xdr:row>
      <xdr:rowOff>28575</xdr:rowOff>
    </xdr:from>
    <xdr:ext cx="308882" cy="876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6CA0B533-5C46-4B87-BFA4-86ED295E3FEB}"/>
            </a:ext>
          </a:extLst>
        </xdr:cNvPr>
        <xdr:cNvSpPr>
          <a:spLocks noChangeAspect="1" noChangeArrowheads="1"/>
        </xdr:cNvSpPr>
      </xdr:nvSpPr>
      <xdr:spPr bwMode="auto">
        <a:xfrm>
          <a:off x="3505200" y="6334125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876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E8E89CD-0D7B-4E4E-B9CC-2FA975A03851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066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8763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30654EC1-A808-4572-9E9F-E6734A19F513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066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876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F81DD8ED-E654-45F3-9E72-E1BA407395A5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447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8763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D270865C-0741-44E5-A9BA-538BD3928B6D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447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876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9E12D4DA-9713-4228-87D7-2F3EB3FE883B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447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8763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15B7EF1A-4504-4547-9F89-3B7621701ECC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447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8</xdr:row>
      <xdr:rowOff>28575</xdr:rowOff>
    </xdr:from>
    <xdr:ext cx="308882" cy="876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9CE8EEE-D468-47E1-92B0-088EF6BEF9ED}"/>
            </a:ext>
          </a:extLst>
        </xdr:cNvPr>
        <xdr:cNvSpPr>
          <a:spLocks noChangeAspect="1" noChangeArrowheads="1"/>
        </xdr:cNvSpPr>
      </xdr:nvSpPr>
      <xdr:spPr bwMode="auto">
        <a:xfrm>
          <a:off x="3505200" y="2095500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304800" cy="876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A946B254-594F-42C2-A78A-2FC594B144C9}"/>
            </a:ext>
          </a:extLst>
        </xdr:cNvPr>
        <xdr:cNvSpPr>
          <a:spLocks noChangeAspect="1" noChangeArrowheads="1"/>
        </xdr:cNvSpPr>
      </xdr:nvSpPr>
      <xdr:spPr bwMode="auto">
        <a:xfrm>
          <a:off x="3895725" y="345757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304800" cy="8763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5D19EF05-649C-4756-B714-E61D9B0266E1}"/>
            </a:ext>
          </a:extLst>
        </xdr:cNvPr>
        <xdr:cNvSpPr>
          <a:spLocks noChangeAspect="1" noChangeArrowheads="1"/>
        </xdr:cNvSpPr>
      </xdr:nvSpPr>
      <xdr:spPr bwMode="auto">
        <a:xfrm>
          <a:off x="3895725" y="345757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876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9B81B145-5F7C-4066-9CFF-2E10D68C243C}"/>
            </a:ext>
          </a:extLst>
        </xdr:cNvPr>
        <xdr:cNvSpPr>
          <a:spLocks noChangeAspect="1" noChangeArrowheads="1"/>
        </xdr:cNvSpPr>
      </xdr:nvSpPr>
      <xdr:spPr bwMode="auto">
        <a:xfrm>
          <a:off x="3895725" y="457200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87630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A8E4ED5B-EA0F-474E-BDF6-8F612FF50484}"/>
            </a:ext>
          </a:extLst>
        </xdr:cNvPr>
        <xdr:cNvSpPr>
          <a:spLocks noChangeAspect="1" noChangeArrowheads="1"/>
        </xdr:cNvSpPr>
      </xdr:nvSpPr>
      <xdr:spPr bwMode="auto">
        <a:xfrm>
          <a:off x="3895725" y="457200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876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FA7F2ACC-2863-4824-A3EE-615135EC9F50}"/>
            </a:ext>
          </a:extLst>
        </xdr:cNvPr>
        <xdr:cNvSpPr>
          <a:spLocks noChangeAspect="1" noChangeArrowheads="1"/>
        </xdr:cNvSpPr>
      </xdr:nvSpPr>
      <xdr:spPr bwMode="auto">
        <a:xfrm>
          <a:off x="3895725" y="457200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87630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8363D379-C3E9-45EF-B89E-BE0A1C297894}"/>
            </a:ext>
          </a:extLst>
        </xdr:cNvPr>
        <xdr:cNvSpPr>
          <a:spLocks noChangeAspect="1" noChangeArrowheads="1"/>
        </xdr:cNvSpPr>
      </xdr:nvSpPr>
      <xdr:spPr bwMode="auto">
        <a:xfrm>
          <a:off x="3895725" y="457200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11</xdr:row>
      <xdr:rowOff>28575</xdr:rowOff>
    </xdr:from>
    <xdr:ext cx="308882" cy="876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99E5816B-B168-46EB-B136-D643F5890D7D}"/>
            </a:ext>
          </a:extLst>
        </xdr:cNvPr>
        <xdr:cNvSpPr>
          <a:spLocks noChangeAspect="1" noChangeArrowheads="1"/>
        </xdr:cNvSpPr>
      </xdr:nvSpPr>
      <xdr:spPr bwMode="auto">
        <a:xfrm>
          <a:off x="3505200" y="3486150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304800" cy="876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F127ED0-0155-4193-A669-9890CFFFA492}"/>
            </a:ext>
          </a:extLst>
        </xdr:cNvPr>
        <xdr:cNvSpPr>
          <a:spLocks noChangeAspect="1" noChangeArrowheads="1"/>
        </xdr:cNvSpPr>
      </xdr:nvSpPr>
      <xdr:spPr bwMode="auto">
        <a:xfrm>
          <a:off x="3895725" y="345757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304800" cy="876300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88256F6E-A87B-48C8-BCD5-AE09A51923DD}"/>
            </a:ext>
          </a:extLst>
        </xdr:cNvPr>
        <xdr:cNvSpPr>
          <a:spLocks noChangeAspect="1" noChangeArrowheads="1"/>
        </xdr:cNvSpPr>
      </xdr:nvSpPr>
      <xdr:spPr bwMode="auto">
        <a:xfrm>
          <a:off x="3895725" y="345757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876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2A2AECFB-40E7-4F91-A530-F12E2BD37F71}"/>
            </a:ext>
          </a:extLst>
        </xdr:cNvPr>
        <xdr:cNvSpPr>
          <a:spLocks noChangeAspect="1" noChangeArrowheads="1"/>
        </xdr:cNvSpPr>
      </xdr:nvSpPr>
      <xdr:spPr bwMode="auto">
        <a:xfrm>
          <a:off x="3895725" y="457200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876300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914075D-6D8B-404B-8375-7B6C157D6A38}"/>
            </a:ext>
          </a:extLst>
        </xdr:cNvPr>
        <xdr:cNvSpPr>
          <a:spLocks noChangeAspect="1" noChangeArrowheads="1"/>
        </xdr:cNvSpPr>
      </xdr:nvSpPr>
      <xdr:spPr bwMode="auto">
        <a:xfrm>
          <a:off x="3895725" y="457200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876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84DD982D-A372-498A-8680-2F664ECF7E9B}"/>
            </a:ext>
          </a:extLst>
        </xdr:cNvPr>
        <xdr:cNvSpPr>
          <a:spLocks noChangeAspect="1" noChangeArrowheads="1"/>
        </xdr:cNvSpPr>
      </xdr:nvSpPr>
      <xdr:spPr bwMode="auto">
        <a:xfrm>
          <a:off x="3895725" y="457200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876300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226E774C-48AB-4590-999D-7D3190120F13}"/>
            </a:ext>
          </a:extLst>
        </xdr:cNvPr>
        <xdr:cNvSpPr>
          <a:spLocks noChangeAspect="1" noChangeArrowheads="1"/>
        </xdr:cNvSpPr>
      </xdr:nvSpPr>
      <xdr:spPr bwMode="auto">
        <a:xfrm>
          <a:off x="3895725" y="457200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11</xdr:row>
      <xdr:rowOff>28575</xdr:rowOff>
    </xdr:from>
    <xdr:ext cx="308882" cy="876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D7CC306-FBE6-469A-B644-C7A3B0FE5753}"/>
            </a:ext>
          </a:extLst>
        </xdr:cNvPr>
        <xdr:cNvSpPr>
          <a:spLocks noChangeAspect="1" noChangeArrowheads="1"/>
        </xdr:cNvSpPr>
      </xdr:nvSpPr>
      <xdr:spPr bwMode="auto">
        <a:xfrm>
          <a:off x="3505200" y="3486150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876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203FCFE8-30F5-4F3F-BF61-8F0247CF0644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305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87630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63BA8223-27DA-4070-8B50-F32F7AFD8B56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305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5A2F435-A6C8-43D0-9746-A697E0263D37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6797AF32-74EF-4FE7-A851-CEFC06F8C447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A3334766-E883-44B9-86F1-DD0667C7B392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1EEB4B2D-C0F1-410D-B9EB-FBE5AAF1C819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17</xdr:row>
      <xdr:rowOff>28575</xdr:rowOff>
    </xdr:from>
    <xdr:ext cx="308882" cy="876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AD61774E-2723-47CC-AA3B-866CED4D7BA1}"/>
            </a:ext>
          </a:extLst>
        </xdr:cNvPr>
        <xdr:cNvSpPr>
          <a:spLocks noChangeAspect="1" noChangeArrowheads="1"/>
        </xdr:cNvSpPr>
      </xdr:nvSpPr>
      <xdr:spPr bwMode="auto">
        <a:xfrm>
          <a:off x="3505200" y="6334125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876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C17C5C5B-8091-4E65-92BE-38314BE7E6DA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305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876300"/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5347AF28-699D-4318-8BCC-3FE78D7F956C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305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CFFFCB9D-E42C-4CA9-ADF9-7D4D7C956080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0C434ACE-E5C1-4BB7-99AF-3C73EFDE8E1B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454DD97C-2F96-4950-8E3B-C7787F8608E2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582A6473-2E0F-4279-8EE2-530937FC8928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17</xdr:row>
      <xdr:rowOff>28575</xdr:rowOff>
    </xdr:from>
    <xdr:ext cx="308882" cy="8763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D2DE4A9F-890F-4C4E-9A05-2609DD2736F2}"/>
            </a:ext>
          </a:extLst>
        </xdr:cNvPr>
        <xdr:cNvSpPr>
          <a:spLocks noChangeAspect="1" noChangeArrowheads="1"/>
        </xdr:cNvSpPr>
      </xdr:nvSpPr>
      <xdr:spPr bwMode="auto">
        <a:xfrm>
          <a:off x="3505200" y="6334125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8763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EFB6375C-69C7-444B-9C85-D9999087825D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447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87630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E1785440-6791-445B-A3E1-8311A106450F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447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876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F50E6948-B472-4EB7-BBB8-8FA5D33F345B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447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87630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1FACE6D7-E9A3-4B8B-8A39-CD729FA34227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447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876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F72AA514-DD8C-420C-A550-C54BE347F7CD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447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87630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5D64ED04-056A-47E1-AB2D-59DC6DE314F1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447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876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3773F8E2-A926-452B-8E2A-6981951CA575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447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87630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3CBAF217-BB35-4F55-8B9E-DDD8363E3A35}"/>
            </a:ext>
          </a:extLst>
        </xdr:cNvPr>
        <xdr:cNvSpPr>
          <a:spLocks noChangeAspect="1" noChangeArrowheads="1"/>
        </xdr:cNvSpPr>
      </xdr:nvSpPr>
      <xdr:spPr bwMode="auto">
        <a:xfrm>
          <a:off x="3895725" y="24479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304800" cy="876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89A0F576-85E7-4D3C-9A5D-7648F9BCE0B2}"/>
            </a:ext>
          </a:extLst>
        </xdr:cNvPr>
        <xdr:cNvSpPr>
          <a:spLocks noChangeAspect="1" noChangeArrowheads="1"/>
        </xdr:cNvSpPr>
      </xdr:nvSpPr>
      <xdr:spPr bwMode="auto">
        <a:xfrm>
          <a:off x="3895725" y="345757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304800" cy="876300"/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F339E5FB-3E37-40B6-82E8-C8BE3880538D}"/>
            </a:ext>
          </a:extLst>
        </xdr:cNvPr>
        <xdr:cNvSpPr>
          <a:spLocks noChangeAspect="1" noChangeArrowheads="1"/>
        </xdr:cNvSpPr>
      </xdr:nvSpPr>
      <xdr:spPr bwMode="auto">
        <a:xfrm>
          <a:off x="3895725" y="345757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11</xdr:row>
      <xdr:rowOff>28575</xdr:rowOff>
    </xdr:from>
    <xdr:ext cx="308882" cy="876300"/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078F4B71-FA73-481E-B3B0-73AA2927562E}"/>
            </a:ext>
          </a:extLst>
        </xdr:cNvPr>
        <xdr:cNvSpPr>
          <a:spLocks noChangeAspect="1" noChangeArrowheads="1"/>
        </xdr:cNvSpPr>
      </xdr:nvSpPr>
      <xdr:spPr bwMode="auto">
        <a:xfrm>
          <a:off x="3505200" y="3486150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304800" cy="876300"/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C918904A-077D-4F76-BBEB-47F0D64EEBCE}"/>
            </a:ext>
          </a:extLst>
        </xdr:cNvPr>
        <xdr:cNvSpPr>
          <a:spLocks noChangeAspect="1" noChangeArrowheads="1"/>
        </xdr:cNvSpPr>
      </xdr:nvSpPr>
      <xdr:spPr bwMode="auto">
        <a:xfrm>
          <a:off x="3895725" y="345757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304800" cy="876300"/>
    <xdr:sp macro="" textlink="">
      <xdr:nvSpPr>
        <xdr:cNvPr id="66" name="AutoShape 2">
          <a:extLst>
            <a:ext uri="{FF2B5EF4-FFF2-40B4-BE49-F238E27FC236}">
              <a16:creationId xmlns:a16="http://schemas.microsoft.com/office/drawing/2014/main" id="{26CD9753-9773-4200-BE7F-38F0699D7F6A}"/>
            </a:ext>
          </a:extLst>
        </xdr:cNvPr>
        <xdr:cNvSpPr>
          <a:spLocks noChangeAspect="1" noChangeArrowheads="1"/>
        </xdr:cNvSpPr>
      </xdr:nvSpPr>
      <xdr:spPr bwMode="auto">
        <a:xfrm>
          <a:off x="3895725" y="345757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11</xdr:row>
      <xdr:rowOff>28575</xdr:rowOff>
    </xdr:from>
    <xdr:ext cx="308882" cy="876300"/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6F0ADD9E-64C8-4936-8A6D-86118321021E}"/>
            </a:ext>
          </a:extLst>
        </xdr:cNvPr>
        <xdr:cNvSpPr>
          <a:spLocks noChangeAspect="1" noChangeArrowheads="1"/>
        </xdr:cNvSpPr>
      </xdr:nvSpPr>
      <xdr:spPr bwMode="auto">
        <a:xfrm>
          <a:off x="3505200" y="3486150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E8D1EA3A-7A43-4F6D-9D79-3338F54B13A4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6791A0A6-D717-407A-A6F6-312F9BB694BE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7E17A346-6080-436D-9CA5-FBDE7E682E06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A0F61749-E7BD-4372-A6AD-D509E28C9295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770D9579-6E8D-4B2A-BBF1-BEECB93B20A4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927E2CDE-3039-4B56-B3B5-016E86066C73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0CC36D76-8B18-4667-9F54-A1B4C5B9AD4E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3CEA7956-75E9-4A04-A0B1-E2C4B04A1A14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87630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8453BC7F-4E17-4879-8BDA-7E1E42C852BE}"/>
            </a:ext>
          </a:extLst>
        </xdr:cNvPr>
        <xdr:cNvSpPr>
          <a:spLocks noChangeAspect="1" noChangeArrowheads="1"/>
        </xdr:cNvSpPr>
      </xdr:nvSpPr>
      <xdr:spPr bwMode="auto">
        <a:xfrm>
          <a:off x="3895725" y="7639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87630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3851769B-653C-498B-B09A-F7B074B68E8B}"/>
            </a:ext>
          </a:extLst>
        </xdr:cNvPr>
        <xdr:cNvSpPr>
          <a:spLocks noChangeAspect="1" noChangeArrowheads="1"/>
        </xdr:cNvSpPr>
      </xdr:nvSpPr>
      <xdr:spPr bwMode="auto">
        <a:xfrm>
          <a:off x="3895725" y="7639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20</xdr:row>
      <xdr:rowOff>28575</xdr:rowOff>
    </xdr:from>
    <xdr:ext cx="308882" cy="876300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CA5B9CED-18E7-402D-88AA-62AA366FF234}"/>
            </a:ext>
          </a:extLst>
        </xdr:cNvPr>
        <xdr:cNvSpPr>
          <a:spLocks noChangeAspect="1" noChangeArrowheads="1"/>
        </xdr:cNvSpPr>
      </xdr:nvSpPr>
      <xdr:spPr bwMode="auto">
        <a:xfrm>
          <a:off x="3505200" y="7667625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876300"/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28B7BFC2-AF34-4AFB-AA15-769218A288A3}"/>
            </a:ext>
          </a:extLst>
        </xdr:cNvPr>
        <xdr:cNvSpPr>
          <a:spLocks noChangeAspect="1" noChangeArrowheads="1"/>
        </xdr:cNvSpPr>
      </xdr:nvSpPr>
      <xdr:spPr bwMode="auto">
        <a:xfrm>
          <a:off x="3895725" y="7639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876300"/>
    <xdr:sp macro="" textlink="">
      <xdr:nvSpPr>
        <xdr:cNvPr id="80" name="AutoShape 2">
          <a:extLst>
            <a:ext uri="{FF2B5EF4-FFF2-40B4-BE49-F238E27FC236}">
              <a16:creationId xmlns:a16="http://schemas.microsoft.com/office/drawing/2014/main" id="{B41DC2A0-AD63-4A3A-A8E2-906FDAECB058}"/>
            </a:ext>
          </a:extLst>
        </xdr:cNvPr>
        <xdr:cNvSpPr>
          <a:spLocks noChangeAspect="1" noChangeArrowheads="1"/>
        </xdr:cNvSpPr>
      </xdr:nvSpPr>
      <xdr:spPr bwMode="auto">
        <a:xfrm>
          <a:off x="3895725" y="7639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20</xdr:row>
      <xdr:rowOff>28575</xdr:rowOff>
    </xdr:from>
    <xdr:ext cx="308882" cy="876300"/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80716B76-0FC2-4FAA-893A-A6CCC1ED782D}"/>
            </a:ext>
          </a:extLst>
        </xdr:cNvPr>
        <xdr:cNvSpPr>
          <a:spLocks noChangeAspect="1" noChangeArrowheads="1"/>
        </xdr:cNvSpPr>
      </xdr:nvSpPr>
      <xdr:spPr bwMode="auto">
        <a:xfrm>
          <a:off x="3505200" y="7667625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F01B4B21-A208-4847-868A-8713C428627A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716ADC2B-859A-4550-B5A2-1D35E3ACAF34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F9E245D9-9268-41C3-AE0C-A3010971E6E4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B0C9C0E3-0089-4FE2-BACE-60DD7054CFA5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389BBC14-F7D8-4723-970A-2984FD313E72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97189E44-9FC5-4D00-8270-7BAC08F14E91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59690F93-D88A-4351-B4F0-92DAB4166FEE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097E1A3F-0EDC-45FA-8757-A6B09B5CF010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876300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D96A0572-8060-400A-B5D1-26716DF7AB89}"/>
            </a:ext>
          </a:extLst>
        </xdr:cNvPr>
        <xdr:cNvSpPr>
          <a:spLocks noChangeAspect="1" noChangeArrowheads="1"/>
        </xdr:cNvSpPr>
      </xdr:nvSpPr>
      <xdr:spPr bwMode="auto">
        <a:xfrm>
          <a:off x="3895725" y="7639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876300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EA0D376B-9A95-486B-BA64-CD762EF81D96}"/>
            </a:ext>
          </a:extLst>
        </xdr:cNvPr>
        <xdr:cNvSpPr>
          <a:spLocks noChangeAspect="1" noChangeArrowheads="1"/>
        </xdr:cNvSpPr>
      </xdr:nvSpPr>
      <xdr:spPr bwMode="auto">
        <a:xfrm>
          <a:off x="3895725" y="7639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20</xdr:row>
      <xdr:rowOff>28575</xdr:rowOff>
    </xdr:from>
    <xdr:ext cx="308882" cy="87630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5A127BC7-E976-4C02-A736-F69895093F68}"/>
            </a:ext>
          </a:extLst>
        </xdr:cNvPr>
        <xdr:cNvSpPr>
          <a:spLocks noChangeAspect="1" noChangeArrowheads="1"/>
        </xdr:cNvSpPr>
      </xdr:nvSpPr>
      <xdr:spPr bwMode="auto">
        <a:xfrm>
          <a:off x="3505200" y="7667625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876300"/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238C4C39-0B1D-4D78-BE01-773BA9BD72FA}"/>
            </a:ext>
          </a:extLst>
        </xdr:cNvPr>
        <xdr:cNvSpPr>
          <a:spLocks noChangeAspect="1" noChangeArrowheads="1"/>
        </xdr:cNvSpPr>
      </xdr:nvSpPr>
      <xdr:spPr bwMode="auto">
        <a:xfrm>
          <a:off x="3895725" y="7639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876300"/>
    <xdr:sp macro="" textlink="">
      <xdr:nvSpPr>
        <xdr:cNvPr id="94" name="AutoShape 2">
          <a:extLst>
            <a:ext uri="{FF2B5EF4-FFF2-40B4-BE49-F238E27FC236}">
              <a16:creationId xmlns:a16="http://schemas.microsoft.com/office/drawing/2014/main" id="{3933DFC9-D9B2-44A5-AF4F-174EFDB6A89B}"/>
            </a:ext>
          </a:extLst>
        </xdr:cNvPr>
        <xdr:cNvSpPr>
          <a:spLocks noChangeAspect="1" noChangeArrowheads="1"/>
        </xdr:cNvSpPr>
      </xdr:nvSpPr>
      <xdr:spPr bwMode="auto">
        <a:xfrm>
          <a:off x="3895725" y="7639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20</xdr:row>
      <xdr:rowOff>28575</xdr:rowOff>
    </xdr:from>
    <xdr:ext cx="308882" cy="876300"/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921FF898-28F9-483F-AFC0-DAFF76B06DED}"/>
            </a:ext>
          </a:extLst>
        </xdr:cNvPr>
        <xdr:cNvSpPr>
          <a:spLocks noChangeAspect="1" noChangeArrowheads="1"/>
        </xdr:cNvSpPr>
      </xdr:nvSpPr>
      <xdr:spPr bwMode="auto">
        <a:xfrm>
          <a:off x="3505200" y="7667625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87630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3C323FB3-21A0-4A63-B15E-E923FB184987}"/>
            </a:ext>
          </a:extLst>
        </xdr:cNvPr>
        <xdr:cNvSpPr>
          <a:spLocks noChangeAspect="1" noChangeArrowheads="1"/>
        </xdr:cNvSpPr>
      </xdr:nvSpPr>
      <xdr:spPr bwMode="auto">
        <a:xfrm>
          <a:off x="3895725" y="7639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87630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75304479-CCC0-431E-8EE9-55C0A3AF1BCA}"/>
            </a:ext>
          </a:extLst>
        </xdr:cNvPr>
        <xdr:cNvSpPr>
          <a:spLocks noChangeAspect="1" noChangeArrowheads="1"/>
        </xdr:cNvSpPr>
      </xdr:nvSpPr>
      <xdr:spPr bwMode="auto">
        <a:xfrm>
          <a:off x="3895725" y="7639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465A44DD-547A-454C-9920-CF453C30EDC8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C031A0E6-73DD-4E48-AC71-6D4FC134B1A4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41A4650A-F7B8-4719-87B8-46167A614AA0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E95335FE-6B6F-4BE6-9C3E-A48A195E9A43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20</xdr:row>
      <xdr:rowOff>28575</xdr:rowOff>
    </xdr:from>
    <xdr:ext cx="308882" cy="876300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FD6F5088-F488-490D-9CD0-A304F768D1D4}"/>
            </a:ext>
          </a:extLst>
        </xdr:cNvPr>
        <xdr:cNvSpPr>
          <a:spLocks noChangeAspect="1" noChangeArrowheads="1"/>
        </xdr:cNvSpPr>
      </xdr:nvSpPr>
      <xdr:spPr bwMode="auto">
        <a:xfrm>
          <a:off x="3505200" y="7667625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876300"/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7B3A1AE5-3C23-462E-9741-5555F64BCF57}"/>
            </a:ext>
          </a:extLst>
        </xdr:cNvPr>
        <xdr:cNvSpPr>
          <a:spLocks noChangeAspect="1" noChangeArrowheads="1"/>
        </xdr:cNvSpPr>
      </xdr:nvSpPr>
      <xdr:spPr bwMode="auto">
        <a:xfrm>
          <a:off x="3895725" y="7639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876300"/>
    <xdr:sp macro="" textlink="">
      <xdr:nvSpPr>
        <xdr:cNvPr id="104" name="AutoShape 2">
          <a:extLst>
            <a:ext uri="{FF2B5EF4-FFF2-40B4-BE49-F238E27FC236}">
              <a16:creationId xmlns:a16="http://schemas.microsoft.com/office/drawing/2014/main" id="{CCFA60E9-B45D-47D9-9207-27FCA23E22EC}"/>
            </a:ext>
          </a:extLst>
        </xdr:cNvPr>
        <xdr:cNvSpPr>
          <a:spLocks noChangeAspect="1" noChangeArrowheads="1"/>
        </xdr:cNvSpPr>
      </xdr:nvSpPr>
      <xdr:spPr bwMode="auto">
        <a:xfrm>
          <a:off x="3895725" y="7639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E6F79749-9604-439C-8908-AA3F8288892B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06" name="AutoShape 2">
          <a:extLst>
            <a:ext uri="{FF2B5EF4-FFF2-40B4-BE49-F238E27FC236}">
              <a16:creationId xmlns:a16="http://schemas.microsoft.com/office/drawing/2014/main" id="{59D3352D-9D91-43F3-A642-CC315F902EA7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359EFB97-0337-4438-B408-47ECF1D6991D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08" name="AutoShape 2">
          <a:extLst>
            <a:ext uri="{FF2B5EF4-FFF2-40B4-BE49-F238E27FC236}">
              <a16:creationId xmlns:a16="http://schemas.microsoft.com/office/drawing/2014/main" id="{54B66D74-CAB3-40B9-8BE3-829F166B6561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20</xdr:row>
      <xdr:rowOff>28575</xdr:rowOff>
    </xdr:from>
    <xdr:ext cx="308882" cy="876300"/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916CA323-3BB4-4731-94DD-C03042BB9913}"/>
            </a:ext>
          </a:extLst>
        </xdr:cNvPr>
        <xdr:cNvSpPr>
          <a:spLocks noChangeAspect="1" noChangeArrowheads="1"/>
        </xdr:cNvSpPr>
      </xdr:nvSpPr>
      <xdr:spPr bwMode="auto">
        <a:xfrm>
          <a:off x="3505200" y="7667625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87630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75354275-1B8B-4518-B860-C967A07E7030}"/>
            </a:ext>
          </a:extLst>
        </xdr:cNvPr>
        <xdr:cNvSpPr>
          <a:spLocks noChangeAspect="1" noChangeArrowheads="1"/>
        </xdr:cNvSpPr>
      </xdr:nvSpPr>
      <xdr:spPr bwMode="auto">
        <a:xfrm>
          <a:off x="3895725" y="7639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87630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EE2CFA18-10AF-4C14-818F-00D9D6C4822C}"/>
            </a:ext>
          </a:extLst>
        </xdr:cNvPr>
        <xdr:cNvSpPr>
          <a:spLocks noChangeAspect="1" noChangeArrowheads="1"/>
        </xdr:cNvSpPr>
      </xdr:nvSpPr>
      <xdr:spPr bwMode="auto">
        <a:xfrm>
          <a:off x="3895725" y="7639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C0D0265D-CD6E-4C33-90E9-AA52FEB1039F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A6556B06-DECE-46F5-A1E1-D0F09D6A48B6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572A0825-849C-4866-9C1B-F7E8D0FDEEE3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24AA043B-F4AD-49CD-8F5E-3A3CEC12744C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1028700</xdr:colOff>
      <xdr:row>20</xdr:row>
      <xdr:rowOff>28575</xdr:rowOff>
    </xdr:from>
    <xdr:ext cx="308882" cy="876300"/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0B8FCA7C-30DD-4367-8C02-35908D27485A}"/>
            </a:ext>
          </a:extLst>
        </xdr:cNvPr>
        <xdr:cNvSpPr>
          <a:spLocks noChangeAspect="1" noChangeArrowheads="1"/>
        </xdr:cNvSpPr>
      </xdr:nvSpPr>
      <xdr:spPr bwMode="auto">
        <a:xfrm>
          <a:off x="3505200" y="7667625"/>
          <a:ext cx="308882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4A12405F-2A6F-4785-B550-D05E91A47F78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18" name="AutoShape 2">
          <a:extLst>
            <a:ext uri="{FF2B5EF4-FFF2-40B4-BE49-F238E27FC236}">
              <a16:creationId xmlns:a16="http://schemas.microsoft.com/office/drawing/2014/main" id="{15D6FDAF-D473-4CE7-A9CB-E396D9F95BB0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0ABB1556-E740-48F8-A729-DB99C4C8275B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20" name="AutoShape 2">
          <a:extLst>
            <a:ext uri="{FF2B5EF4-FFF2-40B4-BE49-F238E27FC236}">
              <a16:creationId xmlns:a16="http://schemas.microsoft.com/office/drawing/2014/main" id="{B1D55759-F6E0-4DFE-881C-775351396791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048CADCC-FE12-48CC-ADB5-26911AF14570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22" name="AutoShape 2">
          <a:extLst>
            <a:ext uri="{FF2B5EF4-FFF2-40B4-BE49-F238E27FC236}">
              <a16:creationId xmlns:a16="http://schemas.microsoft.com/office/drawing/2014/main" id="{31B1860A-30A5-4F51-99F5-E15CDDC2CED0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8CBA35E9-6EAE-46BA-8D6D-A12082F1D59E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24" name="AutoShape 2">
          <a:extLst>
            <a:ext uri="{FF2B5EF4-FFF2-40B4-BE49-F238E27FC236}">
              <a16:creationId xmlns:a16="http://schemas.microsoft.com/office/drawing/2014/main" id="{ADD6B810-C1C0-415F-8008-652A6020B896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DCB8BB2C-16FB-46FB-B23D-524F6F251D11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26" name="AutoShape 2">
          <a:extLst>
            <a:ext uri="{FF2B5EF4-FFF2-40B4-BE49-F238E27FC236}">
              <a16:creationId xmlns:a16="http://schemas.microsoft.com/office/drawing/2014/main" id="{3506C8DF-3FC6-4E72-9B8E-5511D4ABFCDF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42B321A2-CF63-41E2-9876-66DE770A024F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28" name="AutoShape 2">
          <a:extLst>
            <a:ext uri="{FF2B5EF4-FFF2-40B4-BE49-F238E27FC236}">
              <a16:creationId xmlns:a16="http://schemas.microsoft.com/office/drawing/2014/main" id="{DBC836E7-4457-496C-B82A-50319C0EE722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EF71D1C5-EB8B-4435-8E93-361E0E171688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30" name="AutoShape 2">
          <a:extLst>
            <a:ext uri="{FF2B5EF4-FFF2-40B4-BE49-F238E27FC236}">
              <a16:creationId xmlns:a16="http://schemas.microsoft.com/office/drawing/2014/main" id="{85C61E27-F999-4DCD-A126-255B26339C67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E567BF9C-D61E-4915-BF06-DA3A95FCB44F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876300"/>
    <xdr:sp macro="" textlink="">
      <xdr:nvSpPr>
        <xdr:cNvPr id="132" name="AutoShape 2">
          <a:extLst>
            <a:ext uri="{FF2B5EF4-FFF2-40B4-BE49-F238E27FC236}">
              <a16:creationId xmlns:a16="http://schemas.microsoft.com/office/drawing/2014/main" id="{9BE40370-09F6-49A7-8082-42D7F79139F3}"/>
            </a:ext>
          </a:extLst>
        </xdr:cNvPr>
        <xdr:cNvSpPr>
          <a:spLocks noChangeAspect="1" noChangeArrowheads="1"/>
        </xdr:cNvSpPr>
      </xdr:nvSpPr>
      <xdr:spPr bwMode="auto">
        <a:xfrm>
          <a:off x="3895725" y="84010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46D5A351-41DC-4224-A236-BA5B14FE55C1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134" name="AutoShape 2">
          <a:extLst>
            <a:ext uri="{FF2B5EF4-FFF2-40B4-BE49-F238E27FC236}">
              <a16:creationId xmlns:a16="http://schemas.microsoft.com/office/drawing/2014/main" id="{22F6DC84-DBED-4581-A6A4-4ABB663B20C5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F55E5208-EBCD-4784-97BC-520839F886AE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136" name="AutoShape 2">
          <a:extLst>
            <a:ext uri="{FF2B5EF4-FFF2-40B4-BE49-F238E27FC236}">
              <a16:creationId xmlns:a16="http://schemas.microsoft.com/office/drawing/2014/main" id="{B81C6261-03DF-4121-96C8-40654D26F3AC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7599DF2E-A993-4AE9-8FF0-D3CE290E4564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138" name="AutoShape 2">
          <a:extLst>
            <a:ext uri="{FF2B5EF4-FFF2-40B4-BE49-F238E27FC236}">
              <a16:creationId xmlns:a16="http://schemas.microsoft.com/office/drawing/2014/main" id="{B09A985D-F495-4017-A456-9A862E6B64B2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5BB1901F-9AD1-4C5C-9990-DF5C828D58D7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140" name="AutoShape 2">
          <a:extLst>
            <a:ext uri="{FF2B5EF4-FFF2-40B4-BE49-F238E27FC236}">
              <a16:creationId xmlns:a16="http://schemas.microsoft.com/office/drawing/2014/main" id="{D461332B-8AA6-47D7-88D2-2B57F5FF338C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B771C2C5-4A1B-4BB1-B491-AD3F23BE51A8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142" name="AutoShape 2">
          <a:extLst>
            <a:ext uri="{FF2B5EF4-FFF2-40B4-BE49-F238E27FC236}">
              <a16:creationId xmlns:a16="http://schemas.microsoft.com/office/drawing/2014/main" id="{478B2B35-0BEC-469F-945F-770C51C332E8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AEA3921A-2E3E-44FE-B769-5B05CD57DA86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144" name="AutoShape 2">
          <a:extLst>
            <a:ext uri="{FF2B5EF4-FFF2-40B4-BE49-F238E27FC236}">
              <a16:creationId xmlns:a16="http://schemas.microsoft.com/office/drawing/2014/main" id="{0957CB90-42BE-4663-B6D4-7124AC4EDBB8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F394610F-5005-468F-B0F2-2B8FF1383565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146" name="AutoShape 2">
          <a:extLst>
            <a:ext uri="{FF2B5EF4-FFF2-40B4-BE49-F238E27FC236}">
              <a16:creationId xmlns:a16="http://schemas.microsoft.com/office/drawing/2014/main" id="{8D1398C9-5F47-42E3-B05F-735027BA5916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37D743F8-355E-49CE-AE20-AB5058D0CAC1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876300"/>
    <xdr:sp macro="" textlink="">
      <xdr:nvSpPr>
        <xdr:cNvPr id="148" name="AutoShape 2">
          <a:extLst>
            <a:ext uri="{FF2B5EF4-FFF2-40B4-BE49-F238E27FC236}">
              <a16:creationId xmlns:a16="http://schemas.microsoft.com/office/drawing/2014/main" id="{90F2739B-E1EB-4242-B28A-422FC27F35FE}"/>
            </a:ext>
          </a:extLst>
        </xdr:cNvPr>
        <xdr:cNvSpPr>
          <a:spLocks noChangeAspect="1" noChangeArrowheads="1"/>
        </xdr:cNvSpPr>
      </xdr:nvSpPr>
      <xdr:spPr bwMode="auto">
        <a:xfrm>
          <a:off x="3895725" y="6686550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140804</xdr:colOff>
      <xdr:row>0</xdr:row>
      <xdr:rowOff>41414</xdr:rowOff>
    </xdr:from>
    <xdr:to>
      <xdr:col>3</xdr:col>
      <xdr:colOff>596348</xdr:colOff>
      <xdr:row>3</xdr:row>
      <xdr:rowOff>16566</xdr:rowOff>
    </xdr:to>
    <xdr:sp macro="" textlink="">
      <xdr:nvSpPr>
        <xdr:cNvPr id="2" name="Globo: flecha hacia abajo 1">
          <a:extLst>
            <a:ext uri="{FF2B5EF4-FFF2-40B4-BE49-F238E27FC236}">
              <a16:creationId xmlns:a16="http://schemas.microsoft.com/office/drawing/2014/main" id="{72AB7E13-80D3-E889-FA13-113E7C818BB8}"/>
            </a:ext>
          </a:extLst>
        </xdr:cNvPr>
        <xdr:cNvSpPr/>
      </xdr:nvSpPr>
      <xdr:spPr>
        <a:xfrm>
          <a:off x="902804" y="41414"/>
          <a:ext cx="1979544" cy="654326"/>
        </a:xfrm>
        <a:prstGeom prst="downArrowCallout">
          <a:avLst>
            <a:gd name="adj1" fmla="val 30064"/>
            <a:gd name="adj2" fmla="val 33434"/>
            <a:gd name="adj3" fmla="val 25000"/>
            <a:gd name="adj4" fmla="val 6497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Ingresar Cód (válido)  de Articulo</a:t>
          </a:r>
          <a:r>
            <a:rPr lang="es-AR" sz="1100" baseline="0"/>
            <a:t> en Oferta</a:t>
          </a:r>
          <a:endParaRPr lang="es-AR" sz="1100"/>
        </a:p>
      </xdr:txBody>
    </xdr:sp>
    <xdr:clientData/>
  </xdr:twoCellAnchor>
  <xdr:twoCellAnchor editAs="oneCell">
    <xdr:from>
      <xdr:col>3</xdr:col>
      <xdr:colOff>653084</xdr:colOff>
      <xdr:row>14</xdr:row>
      <xdr:rowOff>34374</xdr:rowOff>
    </xdr:from>
    <xdr:to>
      <xdr:col>4</xdr:col>
      <xdr:colOff>484947</xdr:colOff>
      <xdr:row>14</xdr:row>
      <xdr:rowOff>242666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F48E56A-4429-654E-F7B2-0E3B76B8E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8009" y="3196674"/>
          <a:ext cx="803413" cy="208292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4</xdr:col>
      <xdr:colOff>57980</xdr:colOff>
      <xdr:row>15</xdr:row>
      <xdr:rowOff>28160</xdr:rowOff>
    </xdr:from>
    <xdr:to>
      <xdr:col>4</xdr:col>
      <xdr:colOff>496957</xdr:colOff>
      <xdr:row>16</xdr:row>
      <xdr:rowOff>8303</xdr:rowOff>
    </xdr:to>
    <xdr:pic>
      <xdr:nvPicPr>
        <xdr:cNvPr id="13" name="Imagen 5">
          <a:extLst>
            <a:ext uri="{FF2B5EF4-FFF2-40B4-BE49-F238E27FC236}">
              <a16:creationId xmlns:a16="http://schemas.microsoft.com/office/drawing/2014/main" id="{39821036-16A0-EFC2-4CCA-1D6911C40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4455" y="3447635"/>
          <a:ext cx="438977" cy="208743"/>
        </a:xfrm>
        <a:prstGeom prst="rect">
          <a:avLst/>
        </a:prstGeom>
      </xdr:spPr>
    </xdr:pic>
    <xdr:clientData/>
  </xdr:twoCellAnchor>
  <xdr:twoCellAnchor editAs="oneCell">
    <xdr:from>
      <xdr:col>3</xdr:col>
      <xdr:colOff>954985</xdr:colOff>
      <xdr:row>16</xdr:row>
      <xdr:rowOff>78339</xdr:rowOff>
    </xdr:from>
    <xdr:to>
      <xdr:col>4</xdr:col>
      <xdr:colOff>505190</xdr:colOff>
      <xdr:row>17</xdr:row>
      <xdr:rowOff>6546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B354EFB-C13C-5F21-D157-DB87C10FE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59910" y="3726414"/>
          <a:ext cx="521755" cy="223482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3</xdr:col>
      <xdr:colOff>764071</xdr:colOff>
      <xdr:row>18</xdr:row>
      <xdr:rowOff>34374</xdr:rowOff>
    </xdr:from>
    <xdr:to>
      <xdr:col>5</xdr:col>
      <xdr:colOff>77857</xdr:colOff>
      <xdr:row>18</xdr:row>
      <xdr:rowOff>276996</xdr:rowOff>
    </xdr:to>
    <xdr:pic>
      <xdr:nvPicPr>
        <xdr:cNvPr id="14" name="Imagen 3">
          <a:extLst>
            <a:ext uri="{FF2B5EF4-FFF2-40B4-BE49-F238E27FC236}">
              <a16:creationId xmlns:a16="http://schemas.microsoft.com/office/drawing/2014/main" id="{AF0280F4-C9E8-4FA8-9E8B-5E17FD5F6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68996" y="4272999"/>
          <a:ext cx="828261" cy="242622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4</xdr:col>
      <xdr:colOff>646044</xdr:colOff>
      <xdr:row>10</xdr:row>
      <xdr:rowOff>8284</xdr:rowOff>
    </xdr:from>
    <xdr:to>
      <xdr:col>5</xdr:col>
      <xdr:colOff>242573</xdr:colOff>
      <xdr:row>10</xdr:row>
      <xdr:rowOff>215348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6DEDCF2-7A87-A641-C20C-C430D2410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94044" y="1987827"/>
          <a:ext cx="244229" cy="207064"/>
        </a:xfrm>
        <a:prstGeom prst="rect">
          <a:avLst/>
        </a:prstGeom>
      </xdr:spPr>
    </xdr:pic>
    <xdr:clientData/>
  </xdr:twoCellAnchor>
  <xdr:twoCellAnchor editAs="oneCell">
    <xdr:from>
      <xdr:col>3</xdr:col>
      <xdr:colOff>652667</xdr:colOff>
      <xdr:row>17</xdr:row>
      <xdr:rowOff>57151</xdr:rowOff>
    </xdr:from>
    <xdr:to>
      <xdr:col>5</xdr:col>
      <xdr:colOff>81168</xdr:colOff>
      <xdr:row>17</xdr:row>
      <xdr:rowOff>228601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7153D7-E07F-D973-D958-3E7CB52F4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71917" y="3543301"/>
          <a:ext cx="942976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312143</xdr:colOff>
      <xdr:row>12</xdr:row>
      <xdr:rowOff>19452</xdr:rowOff>
    </xdr:from>
    <xdr:to>
      <xdr:col>4</xdr:col>
      <xdr:colOff>504825</xdr:colOff>
      <xdr:row>13</xdr:row>
      <xdr:rowOff>28575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B155298-A312-09FA-84F9-6FDF49154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31393" y="2495952"/>
          <a:ext cx="1164232" cy="237723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rge Ramirez" id="{7EAE08F9-B63B-4B66-95A4-2CF304687BF3}" userId="S::jorge.ramirez@previsoradelparana.com::df4db02b-64cb-4d8f-ae1c-ef528465af9a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8-18T13:37:51.91" personId="{7EAE08F9-B63B-4B66-95A4-2CF304687BF3}" id="{7696BB5C-8E22-4EAC-B27F-F15AAA568DBD}">
    <text>Esta columna es la de referencia de cuotas</text>
  </threadedComment>
  <threadedComment ref="I10" dT="2025-10-13T15:16:58.56" personId="{7EAE08F9-B63B-4B66-95A4-2CF304687BF3}" id="{488743DD-34DF-4B9A-8183-DAE0E383D443}">
    <text>Hasta fecha</text>
  </threadedComment>
  <threadedComment ref="G12" dT="2025-12-18T16:18:54.76" personId="{7EAE08F9-B63B-4B66-95A4-2CF304687BF3}" id="{E40E33BC-9255-4084-92CD-64C6786C0BF2}">
    <text>Revisar hasta “Fecha”</text>
  </threadedComment>
  <threadedComment ref="I12" dT="2025-12-18T16:17:46.83" personId="{7EAE08F9-B63B-4B66-95A4-2CF304687BF3}" id="{1D1D52D9-AB98-4AE9-8CD2-1B1AE34E214C}">
    <text>Hasta “fecha” despues ver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3-11-03T21:18:01.38" personId="{7EAE08F9-B63B-4B66-95A4-2CF304687BF3}" id="{76F2D701-6DA2-48E0-98FF-3212CF39334F}">
    <text>Se Pone NO, en eventos masivos. De lo contrario siempre va SI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  <wetp:taskpane dockstate="right" visibility="0" width="350" row="1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093CEE0-470D-49F7-94DA-35C44FDD18C9}">
  <we:reference id="WA200005271" version="2.5.5.0" store="Omex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D9CAD13B-BC82-4F06-BF8A-B1DE866FCE96}">
  <we:reference id="WA200007897" version="1.0.0.0" store="Omex" storeType="OMEX"/>
  <we:alternateReferences>
    <we:reference id="WA200007897" version="1.0.0.0" store="WA20000789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4AA4C-D30A-4ED7-8CA8-F7C2EA1B7C6B}">
  <sheetPr codeName="Hoja1">
    <pageSetUpPr fitToPage="1"/>
  </sheetPr>
  <dimension ref="A5:K22"/>
  <sheetViews>
    <sheetView topLeftCell="A4" zoomScale="70" zoomScaleNormal="70" workbookViewId="0">
      <pane xSplit="2" ySplit="4" topLeftCell="E9" activePane="bottomRight" state="frozen"/>
      <selection pane="topRight" activeCell="C4" sqref="C4"/>
      <selection pane="bottomLeft" activeCell="A8" sqref="A8"/>
      <selection pane="bottomRight" activeCell="C4" sqref="C4"/>
    </sheetView>
  </sheetViews>
  <sheetFormatPr baseColWidth="10" defaultColWidth="11.42578125" defaultRowHeight="15" x14ac:dyDescent="0.25"/>
  <cols>
    <col min="1" max="1" width="7.28515625" customWidth="1"/>
    <col min="2" max="2" width="7.85546875" customWidth="1"/>
    <col min="3" max="3" width="22" customWidth="1"/>
    <col min="4" max="4" width="44" customWidth="1"/>
    <col min="5" max="5" width="43.7109375" customWidth="1"/>
    <col min="6" max="11" width="34.42578125" customWidth="1"/>
    <col min="12" max="12" width="20.42578125" customWidth="1"/>
  </cols>
  <sheetData>
    <row r="5" spans="1:11" ht="6" customHeight="1" x14ac:dyDescent="0.25"/>
    <row r="6" spans="1:11" ht="21" customHeight="1" thickBot="1" x14ac:dyDescent="0.3">
      <c r="D6" s="5" t="s">
        <v>0</v>
      </c>
      <c r="E6" s="41">
        <v>45608</v>
      </c>
      <c r="F6" s="41">
        <v>45623</v>
      </c>
      <c r="G6" s="6"/>
      <c r="H6" s="6"/>
      <c r="I6" s="7"/>
      <c r="J6" s="8"/>
      <c r="K6" s="8"/>
    </row>
    <row r="7" spans="1:11" ht="45.75" customHeight="1" thickTop="1" x14ac:dyDescent="0.25">
      <c r="A7" s="213" t="s">
        <v>1</v>
      </c>
      <c r="B7" s="215" t="s">
        <v>2</v>
      </c>
      <c r="C7" s="9" t="s">
        <v>3</v>
      </c>
      <c r="D7" s="9" t="s">
        <v>4</v>
      </c>
      <c r="E7" s="10" t="s">
        <v>5</v>
      </c>
      <c r="F7" s="11" t="s">
        <v>6</v>
      </c>
      <c r="G7" s="11" t="s">
        <v>7</v>
      </c>
      <c r="H7" s="11" t="s">
        <v>8</v>
      </c>
      <c r="I7" s="11" t="s">
        <v>9</v>
      </c>
      <c r="J7" s="12" t="s">
        <v>10</v>
      </c>
      <c r="K7" s="13" t="s">
        <v>11</v>
      </c>
    </row>
    <row r="8" spans="1:11" ht="30" x14ac:dyDescent="0.25">
      <c r="A8" s="214"/>
      <c r="B8" s="216"/>
      <c r="C8" s="14" t="s">
        <v>12</v>
      </c>
      <c r="D8" s="43" t="s">
        <v>13</v>
      </c>
      <c r="E8" s="16" t="s">
        <v>14</v>
      </c>
      <c r="F8" s="17" t="s">
        <v>15</v>
      </c>
      <c r="G8" s="17" t="s">
        <v>15</v>
      </c>
      <c r="H8" s="17" t="s">
        <v>15</v>
      </c>
      <c r="I8" s="17" t="s">
        <v>15</v>
      </c>
      <c r="J8" s="17" t="s">
        <v>16</v>
      </c>
      <c r="K8" s="18" t="s">
        <v>16</v>
      </c>
    </row>
    <row r="9" spans="1:11" ht="30" x14ac:dyDescent="0.25">
      <c r="A9" s="214"/>
      <c r="B9" s="216"/>
      <c r="C9" s="14" t="s">
        <v>12</v>
      </c>
      <c r="D9" s="43" t="s">
        <v>17</v>
      </c>
      <c r="E9" s="16" t="s">
        <v>14</v>
      </c>
      <c r="F9" s="17" t="s">
        <v>15</v>
      </c>
      <c r="G9" s="17" t="s">
        <v>15</v>
      </c>
      <c r="H9" s="17" t="s">
        <v>15</v>
      </c>
      <c r="I9" s="17" t="str">
        <f>+I8</f>
        <v>SI</v>
      </c>
      <c r="J9" s="17" t="s">
        <v>16</v>
      </c>
      <c r="K9" s="18" t="s">
        <v>16</v>
      </c>
    </row>
    <row r="10" spans="1:11" ht="58.5" customHeight="1" x14ac:dyDescent="0.25">
      <c r="A10" s="214"/>
      <c r="B10" s="216"/>
      <c r="C10" s="19" t="s">
        <v>12</v>
      </c>
      <c r="D10" s="43" t="s">
        <v>17</v>
      </c>
      <c r="E10" s="20" t="s">
        <v>18</v>
      </c>
      <c r="F10" s="17" t="s">
        <v>15</v>
      </c>
      <c r="G10" s="17" t="s">
        <v>15</v>
      </c>
      <c r="H10" s="17" t="s">
        <v>15</v>
      </c>
      <c r="I10" s="17" t="str">
        <f>+I8</f>
        <v>SI</v>
      </c>
      <c r="J10" s="17" t="s">
        <v>16</v>
      </c>
      <c r="K10" s="18" t="s">
        <v>15</v>
      </c>
    </row>
    <row r="11" spans="1:11" ht="34.5" customHeight="1" x14ac:dyDescent="0.25">
      <c r="A11" s="214"/>
      <c r="B11" s="216"/>
      <c r="C11" s="21" t="s">
        <v>19</v>
      </c>
      <c r="D11" s="43" t="s">
        <v>20</v>
      </c>
      <c r="E11" s="20" t="s">
        <v>21</v>
      </c>
      <c r="F11" s="17" t="s">
        <v>15</v>
      </c>
      <c r="G11" s="17" t="s">
        <v>15</v>
      </c>
      <c r="H11" s="17" t="s">
        <v>15</v>
      </c>
      <c r="I11" s="17" t="str">
        <f>+I10</f>
        <v>SI</v>
      </c>
      <c r="J11" s="17" t="s">
        <v>16</v>
      </c>
      <c r="K11" s="18" t="s">
        <v>15</v>
      </c>
    </row>
    <row r="12" spans="1:11" ht="87.75" customHeight="1" x14ac:dyDescent="0.25">
      <c r="A12" s="214"/>
      <c r="B12" s="216"/>
      <c r="C12" s="22" t="s">
        <v>22</v>
      </c>
      <c r="D12" s="44" t="s">
        <v>23</v>
      </c>
      <c r="E12" s="24" t="s">
        <v>24</v>
      </c>
      <c r="F12" s="17" t="s">
        <v>15</v>
      </c>
      <c r="G12" s="17" t="s">
        <v>16</v>
      </c>
      <c r="H12" s="17" t="s">
        <v>16</v>
      </c>
      <c r="I12" s="17" t="str">
        <f>+I11</f>
        <v>SI</v>
      </c>
      <c r="J12" s="17" t="s">
        <v>16</v>
      </c>
      <c r="K12" s="18" t="s">
        <v>16</v>
      </c>
    </row>
    <row r="13" spans="1:11" ht="44.25" customHeight="1" x14ac:dyDescent="0.25">
      <c r="A13" s="214"/>
      <c r="B13" s="216"/>
      <c r="C13" s="22" t="s">
        <v>22</v>
      </c>
      <c r="D13" s="43" t="s">
        <v>23</v>
      </c>
      <c r="E13" s="20" t="s">
        <v>25</v>
      </c>
      <c r="F13" s="17" t="s">
        <v>15</v>
      </c>
      <c r="G13" s="17" t="s">
        <v>16</v>
      </c>
      <c r="H13" s="17" t="s">
        <v>16</v>
      </c>
      <c r="I13" s="17" t="str">
        <f>+I12</f>
        <v>SI</v>
      </c>
      <c r="J13" s="17" t="s">
        <v>16</v>
      </c>
      <c r="K13" s="18" t="s">
        <v>16</v>
      </c>
    </row>
    <row r="14" spans="1:11" hidden="1" x14ac:dyDescent="0.25">
      <c r="A14" s="25"/>
      <c r="B14" s="26"/>
      <c r="C14" s="25"/>
      <c r="D14" s="27"/>
      <c r="E14" s="28"/>
      <c r="F14" s="29"/>
      <c r="G14" s="29"/>
      <c r="H14" s="29"/>
      <c r="I14" s="29"/>
      <c r="J14" s="29"/>
      <c r="K14" s="29"/>
    </row>
    <row r="15" spans="1:11" ht="15.75" thickBot="1" x14ac:dyDescent="0.3">
      <c r="A15" s="25"/>
      <c r="B15" s="26"/>
      <c r="C15" s="25"/>
      <c r="D15" s="27"/>
      <c r="F15" s="29"/>
      <c r="G15" s="29"/>
      <c r="H15" s="29"/>
      <c r="I15" s="29"/>
      <c r="J15" s="29"/>
      <c r="K15" s="29"/>
    </row>
    <row r="16" spans="1:11" ht="30.75" thickTop="1" x14ac:dyDescent="0.25">
      <c r="A16" s="217" t="s">
        <v>26</v>
      </c>
      <c r="B16" s="219" t="str">
        <f>+B7</f>
        <v>Catálogo Noviembre</v>
      </c>
      <c r="C16" s="9" t="s">
        <v>3</v>
      </c>
      <c r="D16" s="9" t="s">
        <v>4</v>
      </c>
      <c r="E16" s="10" t="s">
        <v>5</v>
      </c>
      <c r="F16" s="11" t="s">
        <v>6</v>
      </c>
      <c r="G16" s="11" t="s">
        <v>7</v>
      </c>
      <c r="H16" s="11" t="s">
        <v>8</v>
      </c>
      <c r="I16" s="11" t="str">
        <f>+I7</f>
        <v>Adicional AFILIADOS 5% revista</v>
      </c>
      <c r="J16" s="12" t="s">
        <v>10</v>
      </c>
      <c r="K16" s="13" t="str">
        <f>+K7</f>
        <v>Adicional % contado</v>
      </c>
    </row>
    <row r="17" spans="1:11" ht="30" x14ac:dyDescent="0.25">
      <c r="A17" s="218"/>
      <c r="B17" s="220"/>
      <c r="C17" s="14" t="s">
        <v>12</v>
      </c>
      <c r="D17" s="15" t="s">
        <v>13</v>
      </c>
      <c r="E17" s="16" t="s">
        <v>14</v>
      </c>
      <c r="F17" s="17" t="s">
        <v>15</v>
      </c>
      <c r="G17" s="17" t="s">
        <v>15</v>
      </c>
      <c r="H17" s="17" t="s">
        <v>15</v>
      </c>
      <c r="I17" s="17" t="s">
        <v>16</v>
      </c>
      <c r="J17" s="17" t="s">
        <v>16</v>
      </c>
      <c r="K17" s="17" t="s">
        <v>16</v>
      </c>
    </row>
    <row r="18" spans="1:11" ht="30" x14ac:dyDescent="0.25">
      <c r="A18" s="218"/>
      <c r="B18" s="220"/>
      <c r="C18" s="14" t="s">
        <v>12</v>
      </c>
      <c r="D18" s="15" t="s">
        <v>17</v>
      </c>
      <c r="E18" s="16" t="s">
        <v>14</v>
      </c>
      <c r="F18" s="17" t="s">
        <v>15</v>
      </c>
      <c r="G18" s="17" t="s">
        <v>15</v>
      </c>
      <c r="H18" s="17" t="s">
        <v>15</v>
      </c>
      <c r="I18" s="17" t="str">
        <f>+I17</f>
        <v>NO</v>
      </c>
      <c r="J18" s="17" t="s">
        <v>16</v>
      </c>
      <c r="K18" s="17" t="s">
        <v>16</v>
      </c>
    </row>
    <row r="19" spans="1:11" ht="45" x14ac:dyDescent="0.25">
      <c r="A19" s="218"/>
      <c r="B19" s="220"/>
      <c r="C19" s="19" t="s">
        <v>12</v>
      </c>
      <c r="D19" s="15" t="s">
        <v>17</v>
      </c>
      <c r="E19" s="20" t="s">
        <v>27</v>
      </c>
      <c r="F19" s="17" t="s">
        <v>15</v>
      </c>
      <c r="G19" s="17" t="s">
        <v>15</v>
      </c>
      <c r="H19" s="17" t="s">
        <v>15</v>
      </c>
      <c r="I19" s="17" t="str">
        <f>+I18</f>
        <v>NO</v>
      </c>
      <c r="J19" s="17" t="s">
        <v>16</v>
      </c>
      <c r="K19" s="30" t="s">
        <v>28</v>
      </c>
    </row>
    <row r="20" spans="1:11" x14ac:dyDescent="0.25">
      <c r="A20" s="218"/>
      <c r="B20" s="220"/>
      <c r="C20" s="21" t="s">
        <v>19</v>
      </c>
      <c r="D20" s="15" t="s">
        <v>20</v>
      </c>
      <c r="E20" s="20" t="s">
        <v>21</v>
      </c>
      <c r="F20" s="17" t="s">
        <v>15</v>
      </c>
      <c r="G20" s="17" t="s">
        <v>15</v>
      </c>
      <c r="H20" s="17" t="s">
        <v>15</v>
      </c>
      <c r="I20" s="17" t="str">
        <f>+I19</f>
        <v>NO</v>
      </c>
      <c r="J20" s="17" t="s">
        <v>16</v>
      </c>
      <c r="K20" s="30" t="s">
        <v>28</v>
      </c>
    </row>
    <row r="21" spans="1:11" ht="60" x14ac:dyDescent="0.25">
      <c r="A21" s="218"/>
      <c r="B21" s="220"/>
      <c r="C21" s="22" t="s">
        <v>22</v>
      </c>
      <c r="D21" s="23" t="s">
        <v>23</v>
      </c>
      <c r="E21" s="24" t="s">
        <v>24</v>
      </c>
      <c r="F21" s="17" t="s">
        <v>15</v>
      </c>
      <c r="G21" s="17" t="s">
        <v>16</v>
      </c>
      <c r="H21" s="17" t="s">
        <v>16</v>
      </c>
      <c r="I21" s="17" t="str">
        <f>+I20</f>
        <v>NO</v>
      </c>
      <c r="J21" s="17" t="s">
        <v>16</v>
      </c>
      <c r="K21" s="17" t="s">
        <v>16</v>
      </c>
    </row>
    <row r="22" spans="1:11" ht="45" x14ac:dyDescent="0.25">
      <c r="A22" s="218"/>
      <c r="B22" s="220"/>
      <c r="C22" s="22" t="s">
        <v>22</v>
      </c>
      <c r="D22" s="15" t="s">
        <v>23</v>
      </c>
      <c r="E22" s="20" t="s">
        <v>27</v>
      </c>
      <c r="F22" s="17" t="s">
        <v>15</v>
      </c>
      <c r="G22" s="17" t="s">
        <v>16</v>
      </c>
      <c r="H22" s="17" t="s">
        <v>16</v>
      </c>
      <c r="I22" s="17" t="str">
        <f>+I21</f>
        <v>NO</v>
      </c>
      <c r="J22" s="17" t="s">
        <v>16</v>
      </c>
      <c r="K22" s="17" t="s">
        <v>16</v>
      </c>
    </row>
  </sheetData>
  <protectedRanges>
    <protectedRange sqref="E6:G6 B7:B13" name="Fecha_nombre_campaña"/>
  </protectedRanges>
  <mergeCells count="4">
    <mergeCell ref="A7:A13"/>
    <mergeCell ref="B7:B13"/>
    <mergeCell ref="A16:A22"/>
    <mergeCell ref="B16:B22"/>
  </mergeCells>
  <conditionalFormatting sqref="F7:K22">
    <cfRule type="containsText" dxfId="26" priority="2" operator="containsText" text="NO">
      <formula>NOT(ISERROR(SEARCH("NO",F7)))</formula>
    </cfRule>
  </conditionalFormatting>
  <conditionalFormatting sqref="F8:K15 F17:K22">
    <cfRule type="containsText" dxfId="25" priority="1" operator="containsText" text="SI">
      <formula>NOT(ISERROR(SEARCH("SI",F8)))</formula>
    </cfRule>
  </conditionalFormatting>
  <printOptions horizontalCentered="1" verticalCentered="1"/>
  <pageMargins left="0.25" right="0.25" top="0.75" bottom="0.75" header="0.3" footer="0.3"/>
  <pageSetup paperSize="5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27FA-B855-4EAC-9AE4-83A84D49E368}">
  <sheetPr codeName="Hoja2"/>
  <dimension ref="A1:K15"/>
  <sheetViews>
    <sheetView workbookViewId="0">
      <selection activeCell="C10" sqref="C10"/>
    </sheetView>
  </sheetViews>
  <sheetFormatPr baseColWidth="10" defaultColWidth="11.42578125" defaultRowHeight="15" x14ac:dyDescent="0.25"/>
  <cols>
    <col min="1" max="1" width="17.140625" customWidth="1"/>
    <col min="3" max="3" width="13.7109375" customWidth="1"/>
    <col min="4" max="4" width="12.140625" customWidth="1"/>
    <col min="5" max="5" width="14.42578125" customWidth="1"/>
    <col min="6" max="6" width="16.5703125" customWidth="1"/>
    <col min="7" max="7" width="17.7109375" customWidth="1"/>
    <col min="8" max="8" width="21.28515625" customWidth="1"/>
    <col min="9" max="9" width="26.5703125" customWidth="1"/>
  </cols>
  <sheetData>
    <row r="1" spans="1:11" x14ac:dyDescent="0.25">
      <c r="A1" t="s">
        <v>29</v>
      </c>
      <c r="B1" s="39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</row>
    <row r="2" spans="1:11" x14ac:dyDescent="0.25">
      <c r="A2" s="40" t="s">
        <v>40</v>
      </c>
      <c r="B2" s="39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44</v>
      </c>
      <c r="H2" t="s">
        <v>46</v>
      </c>
      <c r="I2" t="s">
        <v>47</v>
      </c>
      <c r="J2">
        <v>0</v>
      </c>
    </row>
    <row r="3" spans="1:11" x14ac:dyDescent="0.25">
      <c r="A3" t="s">
        <v>48</v>
      </c>
      <c r="B3" s="39" t="s">
        <v>48</v>
      </c>
      <c r="C3" t="s">
        <v>49</v>
      </c>
      <c r="D3" t="s">
        <v>43</v>
      </c>
      <c r="E3" t="s">
        <v>43</v>
      </c>
      <c r="F3" t="s">
        <v>45</v>
      </c>
      <c r="G3" t="s">
        <v>44</v>
      </c>
      <c r="H3" t="s">
        <v>46</v>
      </c>
      <c r="I3" t="s">
        <v>47</v>
      </c>
      <c r="J3">
        <v>20</v>
      </c>
    </row>
    <row r="4" spans="1:11" x14ac:dyDescent="0.25">
      <c r="A4" t="s">
        <v>50</v>
      </c>
      <c r="B4" s="39" t="s">
        <v>50</v>
      </c>
      <c r="C4" t="s">
        <v>51</v>
      </c>
      <c r="D4" t="s">
        <v>43</v>
      </c>
      <c r="E4" t="s">
        <v>43</v>
      </c>
      <c r="F4" t="s">
        <v>45</v>
      </c>
      <c r="G4" t="s">
        <v>44</v>
      </c>
      <c r="H4" t="s">
        <v>46</v>
      </c>
      <c r="I4" t="s">
        <v>47</v>
      </c>
      <c r="J4">
        <v>10</v>
      </c>
    </row>
    <row r="5" spans="1:11" x14ac:dyDescent="0.25">
      <c r="A5" t="s">
        <v>52</v>
      </c>
      <c r="B5" s="39" t="s">
        <v>52</v>
      </c>
      <c r="C5" t="s">
        <v>53</v>
      </c>
      <c r="D5" t="s">
        <v>43</v>
      </c>
      <c r="E5" t="s">
        <v>43</v>
      </c>
      <c r="F5" t="s">
        <v>45</v>
      </c>
      <c r="G5" t="s">
        <v>44</v>
      </c>
      <c r="H5" t="s">
        <v>46</v>
      </c>
      <c r="I5" t="s">
        <v>47</v>
      </c>
      <c r="J5">
        <v>10</v>
      </c>
    </row>
    <row r="6" spans="1:11" x14ac:dyDescent="0.25">
      <c r="A6" t="s">
        <v>54</v>
      </c>
      <c r="B6" s="39" t="s">
        <v>54</v>
      </c>
      <c r="C6" t="s">
        <v>55</v>
      </c>
      <c r="D6" t="s">
        <v>44</v>
      </c>
      <c r="E6" t="s">
        <v>44</v>
      </c>
      <c r="F6" t="s">
        <v>56</v>
      </c>
      <c r="G6" t="s">
        <v>55</v>
      </c>
      <c r="H6" t="s">
        <v>55</v>
      </c>
      <c r="I6" t="s">
        <v>47</v>
      </c>
      <c r="J6">
        <v>0</v>
      </c>
      <c r="K6" t="s">
        <v>57</v>
      </c>
    </row>
    <row r="7" spans="1:11" x14ac:dyDescent="0.25">
      <c r="A7" t="s">
        <v>58</v>
      </c>
      <c r="B7" s="39" t="s">
        <v>58</v>
      </c>
      <c r="C7" t="s">
        <v>49</v>
      </c>
      <c r="D7" t="s">
        <v>43</v>
      </c>
      <c r="E7" t="s">
        <v>43</v>
      </c>
      <c r="F7" t="s">
        <v>44</v>
      </c>
      <c r="G7" t="s">
        <v>44</v>
      </c>
      <c r="H7" t="s">
        <v>46</v>
      </c>
      <c r="I7" t="s">
        <v>47</v>
      </c>
      <c r="J7">
        <v>10</v>
      </c>
      <c r="K7" t="s">
        <v>44</v>
      </c>
    </row>
    <row r="8" spans="1:11" x14ac:dyDescent="0.25">
      <c r="A8" s="40" t="s">
        <v>40</v>
      </c>
      <c r="B8" s="39" t="s">
        <v>59</v>
      </c>
      <c r="C8" t="s">
        <v>49</v>
      </c>
      <c r="D8" t="s">
        <v>49</v>
      </c>
      <c r="E8" t="s">
        <v>42</v>
      </c>
      <c r="F8" t="s">
        <v>60</v>
      </c>
      <c r="G8" s="50" t="s">
        <v>43</v>
      </c>
      <c r="H8" t="s">
        <v>43</v>
      </c>
      <c r="I8" t="s">
        <v>61</v>
      </c>
      <c r="J8">
        <v>0</v>
      </c>
      <c r="K8" t="s">
        <v>43</v>
      </c>
    </row>
    <row r="9" spans="1:11" x14ac:dyDescent="0.25">
      <c r="A9" t="s">
        <v>62</v>
      </c>
      <c r="B9" s="39" t="s">
        <v>58</v>
      </c>
      <c r="C9" t="s">
        <v>51</v>
      </c>
      <c r="D9" t="s">
        <v>49</v>
      </c>
      <c r="E9" t="s">
        <v>43</v>
      </c>
      <c r="F9" t="s">
        <v>44</v>
      </c>
      <c r="G9" t="s">
        <v>44</v>
      </c>
      <c r="H9" t="s">
        <v>46</v>
      </c>
      <c r="I9" t="s">
        <v>47</v>
      </c>
      <c r="J9">
        <v>10</v>
      </c>
      <c r="K9" t="s">
        <v>44</v>
      </c>
    </row>
    <row r="10" spans="1:11" x14ac:dyDescent="0.25">
      <c r="A10" t="s">
        <v>63</v>
      </c>
      <c r="B10" s="39" t="s">
        <v>62</v>
      </c>
      <c r="C10" t="s">
        <v>51</v>
      </c>
      <c r="D10" t="s">
        <v>51</v>
      </c>
      <c r="E10" t="s">
        <v>49</v>
      </c>
      <c r="F10" t="s">
        <v>43</v>
      </c>
      <c r="G10" s="50" t="s">
        <v>43</v>
      </c>
      <c r="H10" t="s">
        <v>43</v>
      </c>
      <c r="I10" s="50" t="s">
        <v>61</v>
      </c>
      <c r="J10">
        <v>20</v>
      </c>
      <c r="K10" t="s">
        <v>43</v>
      </c>
    </row>
    <row r="11" spans="1:11" x14ac:dyDescent="0.25">
      <c r="A11" t="s">
        <v>64</v>
      </c>
      <c r="B11" s="39" t="s">
        <v>58</v>
      </c>
      <c r="C11" t="s">
        <v>42</v>
      </c>
      <c r="D11" t="s">
        <v>65</v>
      </c>
      <c r="E11" t="s">
        <v>43</v>
      </c>
      <c r="F11" t="s">
        <v>44</v>
      </c>
      <c r="G11" t="s">
        <v>44</v>
      </c>
      <c r="H11" t="s">
        <v>46</v>
      </c>
      <c r="I11" t="s">
        <v>47</v>
      </c>
      <c r="J11">
        <v>10</v>
      </c>
      <c r="K11" t="s">
        <v>66</v>
      </c>
    </row>
    <row r="12" spans="1:11" x14ac:dyDescent="0.25">
      <c r="A12" t="s">
        <v>59</v>
      </c>
      <c r="B12" s="39" t="s">
        <v>59</v>
      </c>
      <c r="C12" t="s">
        <v>49</v>
      </c>
      <c r="D12" t="s">
        <v>42</v>
      </c>
      <c r="E12" t="s">
        <v>42</v>
      </c>
      <c r="F12" t="s">
        <v>60</v>
      </c>
      <c r="G12" s="50" t="s">
        <v>43</v>
      </c>
      <c r="I12" s="50" t="s">
        <v>61</v>
      </c>
      <c r="K12" t="s">
        <v>43</v>
      </c>
    </row>
    <row r="13" spans="1:11" x14ac:dyDescent="0.25">
      <c r="A13" t="s">
        <v>58</v>
      </c>
      <c r="B13" s="39" t="s">
        <v>64</v>
      </c>
      <c r="C13" t="s">
        <v>49</v>
      </c>
      <c r="D13" t="s">
        <v>65</v>
      </c>
      <c r="E13" t="s">
        <v>65</v>
      </c>
      <c r="F13" t="s">
        <v>60</v>
      </c>
      <c r="G13" t="s">
        <v>44</v>
      </c>
      <c r="H13" t="s">
        <v>43</v>
      </c>
      <c r="I13" t="s">
        <v>61</v>
      </c>
      <c r="J13">
        <v>10</v>
      </c>
      <c r="K13" t="s">
        <v>43</v>
      </c>
    </row>
    <row r="14" spans="1:11" x14ac:dyDescent="0.25">
      <c r="A14" t="s">
        <v>62</v>
      </c>
      <c r="B14" s="39" t="s">
        <v>63</v>
      </c>
      <c r="C14" t="s">
        <v>51</v>
      </c>
      <c r="D14" t="s">
        <v>62</v>
      </c>
      <c r="E14" t="s">
        <v>51</v>
      </c>
      <c r="F14" t="s">
        <v>60</v>
      </c>
      <c r="G14" t="s">
        <v>44</v>
      </c>
      <c r="H14" t="s">
        <v>43</v>
      </c>
      <c r="I14" t="s">
        <v>61</v>
      </c>
      <c r="J14">
        <v>30</v>
      </c>
      <c r="K14" t="s">
        <v>42</v>
      </c>
    </row>
    <row r="15" spans="1:11" x14ac:dyDescent="0.25">
      <c r="A15" t="s">
        <v>67</v>
      </c>
      <c r="B15" s="39" t="s">
        <v>67</v>
      </c>
      <c r="C15" t="s">
        <v>55</v>
      </c>
      <c r="D15" t="s">
        <v>55</v>
      </c>
      <c r="E15" t="s">
        <v>55</v>
      </c>
      <c r="F15" t="s">
        <v>55</v>
      </c>
      <c r="G15" t="s">
        <v>55</v>
      </c>
      <c r="H15" t="s">
        <v>55</v>
      </c>
      <c r="I15" t="s">
        <v>47</v>
      </c>
      <c r="J15">
        <v>0</v>
      </c>
      <c r="K15" t="s">
        <v>57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BFAC-23C8-4343-A7CB-CC67D26BBAB3}">
  <dimension ref="A1"/>
  <sheetViews>
    <sheetView zoomScaleNormal="60" zoomScaleSheetLayoutView="100"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7799-EF35-4FF1-A402-A089B8150F66}">
  <sheetPr codeName="Hoja3"/>
  <dimension ref="A1:BL1047830"/>
  <sheetViews>
    <sheetView topLeftCell="A28" workbookViewId="0">
      <pane xSplit="7" topLeftCell="AD1" activePane="topRight" state="frozen"/>
      <selection pane="topRight" activeCell="A44" sqref="A44"/>
    </sheetView>
  </sheetViews>
  <sheetFormatPr baseColWidth="10" defaultColWidth="11.42578125" defaultRowHeight="15" x14ac:dyDescent="0.25"/>
  <cols>
    <col min="1" max="1" width="8.85546875" customWidth="1"/>
    <col min="2" max="2" width="35.5703125" customWidth="1"/>
    <col min="3" max="3" width="11.7109375" customWidth="1"/>
    <col min="4" max="4" width="16.7109375" customWidth="1"/>
    <col min="5" max="5" width="16" style="61" customWidth="1"/>
    <col min="6" max="6" width="17.28515625" customWidth="1"/>
    <col min="7" max="7" width="17.5703125" style="50" customWidth="1"/>
    <col min="8" max="8" width="17.140625" customWidth="1"/>
    <col min="9" max="9" width="12" style="45" customWidth="1"/>
    <col min="10" max="10" width="15.5703125" style="45" bestFit="1" customWidth="1"/>
    <col min="11" max="11" width="12.5703125" customWidth="1"/>
    <col min="12" max="12" width="7.140625" customWidth="1"/>
    <col min="13" max="13" width="13.42578125" customWidth="1"/>
    <col min="14" max="14" width="14.28515625" customWidth="1"/>
    <col min="15" max="15" width="4.85546875" customWidth="1"/>
    <col min="16" max="16" width="3.42578125" customWidth="1"/>
    <col min="17" max="17" width="12.85546875" customWidth="1"/>
    <col min="18" max="18" width="13.7109375" customWidth="1"/>
    <col min="19" max="19" width="8" customWidth="1"/>
    <col min="20" max="20" width="14.28515625" customWidth="1"/>
    <col min="21" max="21" width="11" customWidth="1"/>
    <col min="22" max="22" width="14.5703125" customWidth="1"/>
    <col min="23" max="23" width="3.7109375" customWidth="1"/>
    <col min="24" max="24" width="7.28515625" customWidth="1"/>
    <col min="25" max="25" width="14.28515625" bestFit="1" customWidth="1"/>
    <col min="26" max="26" width="8.28515625" customWidth="1"/>
    <col min="27" max="27" width="18.5703125" customWidth="1"/>
    <col min="28" max="28" width="13.28515625" customWidth="1"/>
    <col min="29" max="29" width="67.5703125" customWidth="1"/>
    <col min="30" max="30" width="26.85546875" style="42" customWidth="1"/>
    <col min="31" max="31" width="11.42578125" style="42" customWidth="1"/>
    <col min="32" max="32" width="5.28515625" customWidth="1"/>
    <col min="33" max="33" width="37.7109375" bestFit="1" customWidth="1"/>
    <col min="34" max="34" width="24.28515625" customWidth="1"/>
    <col min="35" max="35" width="47.42578125" customWidth="1"/>
    <col min="36" max="36" width="11.42578125" customWidth="1"/>
  </cols>
  <sheetData>
    <row r="1" spans="1:64" x14ac:dyDescent="0.25">
      <c r="A1" s="187" t="s">
        <v>68</v>
      </c>
      <c r="B1" s="187" t="s">
        <v>69</v>
      </c>
      <c r="C1" s="187" t="s">
        <v>70</v>
      </c>
      <c r="D1" s="187" t="s">
        <v>71</v>
      </c>
      <c r="E1" s="188" t="s">
        <v>72</v>
      </c>
      <c r="F1" s="189" t="s">
        <v>73</v>
      </c>
      <c r="G1" s="190" t="s">
        <v>74</v>
      </c>
      <c r="H1" s="187" t="s">
        <v>75</v>
      </c>
      <c r="I1" s="191" t="s">
        <v>76</v>
      </c>
      <c r="J1" s="191" t="s">
        <v>77</v>
      </c>
      <c r="K1" s="187" t="s">
        <v>78</v>
      </c>
      <c r="L1" s="187" t="s">
        <v>79</v>
      </c>
      <c r="M1" s="189" t="s">
        <v>80</v>
      </c>
      <c r="N1" s="187" t="s">
        <v>81</v>
      </c>
      <c r="O1" s="192" t="s">
        <v>82</v>
      </c>
      <c r="P1" s="193" t="s">
        <v>83</v>
      </c>
      <c r="Q1" s="193" t="s">
        <v>84</v>
      </c>
      <c r="R1" s="189" t="s">
        <v>85</v>
      </c>
      <c r="S1" s="189" t="s">
        <v>86</v>
      </c>
      <c r="T1" s="187" t="s">
        <v>87</v>
      </c>
      <c r="U1" s="189" t="s">
        <v>88</v>
      </c>
      <c r="V1" s="187" t="s">
        <v>89</v>
      </c>
      <c r="W1" s="194" t="s">
        <v>90</v>
      </c>
      <c r="X1" s="193" t="s">
        <v>91</v>
      </c>
      <c r="Y1" s="193" t="s">
        <v>92</v>
      </c>
      <c r="Z1" s="195" t="s">
        <v>93</v>
      </c>
      <c r="AA1" s="196" t="s">
        <v>94</v>
      </c>
      <c r="AB1" s="197" t="s">
        <v>95</v>
      </c>
      <c r="AC1" s="195" t="s">
        <v>96</v>
      </c>
      <c r="AD1" s="177" t="s">
        <v>97</v>
      </c>
      <c r="AE1" s="177" t="s">
        <v>98</v>
      </c>
      <c r="AF1" t="s">
        <v>99</v>
      </c>
      <c r="AG1" s="177" t="s">
        <v>100</v>
      </c>
      <c r="AJ1" s="177"/>
      <c r="AK1" s="177"/>
      <c r="AL1" s="177"/>
      <c r="AM1" s="177"/>
      <c r="AN1" s="177"/>
      <c r="AO1" s="177"/>
      <c r="AP1" s="177"/>
      <c r="AQ1" s="177"/>
      <c r="AR1" s="177"/>
      <c r="AS1" s="177"/>
      <c r="AT1" s="177"/>
      <c r="AU1" s="177"/>
      <c r="AV1" s="177"/>
      <c r="AW1" s="177"/>
      <c r="AX1" s="177"/>
      <c r="AY1" s="177"/>
      <c r="AZ1" s="177"/>
      <c r="BA1" s="177"/>
      <c r="BB1" s="177"/>
      <c r="BC1" s="177"/>
      <c r="BD1" s="177"/>
      <c r="BE1" s="177"/>
      <c r="BF1" s="177"/>
      <c r="BG1" s="177"/>
      <c r="BH1" s="177"/>
      <c r="BI1" s="177"/>
      <c r="BJ1" s="177"/>
      <c r="BK1" s="177"/>
      <c r="BL1" s="177"/>
    </row>
    <row r="2" spans="1:64" x14ac:dyDescent="0.25">
      <c r="A2" s="51">
        <v>1002631</v>
      </c>
      <c r="B2" s="52" t="s">
        <v>101</v>
      </c>
      <c r="C2" s="53" t="s">
        <v>102</v>
      </c>
      <c r="D2" s="161">
        <v>103632.1801</v>
      </c>
      <c r="E2" s="59">
        <v>518156.1801</v>
      </c>
      <c r="F2" s="160">
        <v>20.000182199891892</v>
      </c>
      <c r="G2" s="55">
        <v>414524</v>
      </c>
      <c r="H2" s="198" t="s">
        <v>103</v>
      </c>
      <c r="I2" s="199">
        <v>0.05</v>
      </c>
      <c r="J2" s="200">
        <v>0.15</v>
      </c>
      <c r="K2" s="201" t="s">
        <v>104</v>
      </c>
      <c r="L2" s="201">
        <v>12</v>
      </c>
      <c r="M2" s="202" t="s">
        <v>105</v>
      </c>
      <c r="N2" s="203">
        <f>+$G2/12</f>
        <v>34543.666666666664</v>
      </c>
      <c r="O2" s="36">
        <v>0</v>
      </c>
      <c r="P2" s="204">
        <v>0</v>
      </c>
      <c r="Q2" s="203">
        <f>+N2</f>
        <v>34543.666666666664</v>
      </c>
      <c r="R2" s="31" t="s">
        <v>104</v>
      </c>
      <c r="S2" s="31">
        <v>12</v>
      </c>
      <c r="T2" s="32">
        <f>+$G2/12</f>
        <v>34543.666666666664</v>
      </c>
      <c r="U2" s="33">
        <v>9</v>
      </c>
      <c r="V2" s="34">
        <f>+G2/9</f>
        <v>46058.222222222219</v>
      </c>
      <c r="W2" s="177"/>
      <c r="X2" s="35">
        <v>0</v>
      </c>
      <c r="Y2" s="203">
        <f>+G2</f>
        <v>414524</v>
      </c>
      <c r="Z2" s="177">
        <f>+A2</f>
        <v>1002631</v>
      </c>
      <c r="AA2" s="205">
        <v>12</v>
      </c>
      <c r="AB2" s="38">
        <v>12</v>
      </c>
      <c r="AC2" s="39" t="s">
        <v>106</v>
      </c>
      <c r="AD2" s="206">
        <v>46170</v>
      </c>
      <c r="AE2" s="206">
        <v>46203</v>
      </c>
      <c r="AF2">
        <v>0</v>
      </c>
      <c r="AG2" s="177" t="s">
        <v>107</v>
      </c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7"/>
      <c r="AV2" s="177"/>
      <c r="AW2" s="177"/>
      <c r="AX2" s="177"/>
      <c r="AY2" s="177"/>
      <c r="AZ2" s="177"/>
      <c r="BA2" s="177"/>
      <c r="BB2" s="177"/>
      <c r="BC2" s="177"/>
      <c r="BD2" s="177"/>
      <c r="BE2" s="177"/>
      <c r="BF2" s="177"/>
      <c r="BG2" s="177"/>
      <c r="BH2" s="177"/>
      <c r="BI2" s="177"/>
      <c r="BJ2" s="177"/>
      <c r="BK2" s="177"/>
      <c r="BL2" s="177"/>
    </row>
    <row r="3" spans="1:64" x14ac:dyDescent="0.25">
      <c r="A3" s="51">
        <v>1003204</v>
      </c>
      <c r="B3" s="52" t="s">
        <v>108</v>
      </c>
      <c r="C3" s="53" t="s">
        <v>102</v>
      </c>
      <c r="D3" s="161">
        <v>258650.69279999984</v>
      </c>
      <c r="E3" s="59">
        <v>1293250.6927999998</v>
      </c>
      <c r="F3" s="160">
        <v>20.000042856346646</v>
      </c>
      <c r="G3" s="56">
        <v>1034600</v>
      </c>
      <c r="H3" s="198" t="s">
        <v>103</v>
      </c>
      <c r="I3" s="199">
        <v>0.05</v>
      </c>
      <c r="J3" s="200">
        <v>0.15</v>
      </c>
      <c r="K3" s="201" t="s">
        <v>104</v>
      </c>
      <c r="L3" s="201">
        <v>12</v>
      </c>
      <c r="M3" s="202" t="s">
        <v>105</v>
      </c>
      <c r="N3" s="203">
        <f>+$G3/12</f>
        <v>86216.666666666672</v>
      </c>
      <c r="O3" s="36">
        <v>0</v>
      </c>
      <c r="P3" s="204">
        <v>0</v>
      </c>
      <c r="Q3" s="203">
        <f>+N3</f>
        <v>86216.666666666672</v>
      </c>
      <c r="R3" s="31" t="s">
        <v>104</v>
      </c>
      <c r="S3" s="31">
        <v>12</v>
      </c>
      <c r="T3" s="32">
        <f t="shared" ref="T3:T29" si="0">+$G3/12</f>
        <v>86216.666666666672</v>
      </c>
      <c r="U3" s="33">
        <v>9</v>
      </c>
      <c r="V3" s="34">
        <f t="shared" ref="V3:V19" si="1">+G3/9</f>
        <v>114955.55555555556</v>
      </c>
      <c r="W3" s="177"/>
      <c r="X3" s="35">
        <v>0</v>
      </c>
      <c r="Y3" s="203">
        <f t="shared" ref="Y3:Y19" si="2">+G3</f>
        <v>1034600</v>
      </c>
      <c r="Z3" s="177">
        <f t="shared" ref="Z3:Z19" si="3">+A3</f>
        <v>1003204</v>
      </c>
      <c r="AA3" s="205">
        <v>12</v>
      </c>
      <c r="AB3" s="38">
        <v>12</v>
      </c>
      <c r="AC3" s="39" t="s">
        <v>106</v>
      </c>
      <c r="AD3" s="206">
        <v>46170</v>
      </c>
      <c r="AE3" s="206">
        <v>46203</v>
      </c>
      <c r="AF3">
        <v>0</v>
      </c>
      <c r="AG3" s="177" t="s">
        <v>107</v>
      </c>
      <c r="AJ3" s="177"/>
      <c r="AK3" s="177"/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7"/>
      <c r="AX3" s="177"/>
      <c r="AY3" s="177"/>
      <c r="AZ3" s="177"/>
      <c r="BA3" s="177"/>
      <c r="BB3" s="177"/>
      <c r="BC3" s="177"/>
      <c r="BD3" s="177"/>
      <c r="BE3" s="177"/>
      <c r="BF3" s="177"/>
      <c r="BG3" s="177"/>
      <c r="BH3" s="177"/>
      <c r="BI3" s="177"/>
      <c r="BJ3" s="177"/>
      <c r="BK3" s="177"/>
      <c r="BL3" s="177"/>
    </row>
    <row r="4" spans="1:64" x14ac:dyDescent="0.25">
      <c r="A4" s="51">
        <v>1002993</v>
      </c>
      <c r="B4" s="52" t="s">
        <v>109</v>
      </c>
      <c r="C4" s="53" t="s">
        <v>110</v>
      </c>
      <c r="D4" s="161">
        <v>89152</v>
      </c>
      <c r="E4" s="59">
        <v>445760</v>
      </c>
      <c r="F4" s="160">
        <v>19.999999999999996</v>
      </c>
      <c r="G4" s="55">
        <v>356608</v>
      </c>
      <c r="H4" s="198" t="s">
        <v>103</v>
      </c>
      <c r="I4" s="199">
        <v>0.05</v>
      </c>
      <c r="J4" s="200">
        <v>0.15</v>
      </c>
      <c r="K4" s="201" t="s">
        <v>104</v>
      </c>
      <c r="L4" s="201">
        <v>12</v>
      </c>
      <c r="M4" s="202" t="s">
        <v>105</v>
      </c>
      <c r="N4" s="203">
        <f t="shared" ref="N4:N29" si="4">+$G4/12</f>
        <v>29717.333333333332</v>
      </c>
      <c r="O4" s="36">
        <v>0</v>
      </c>
      <c r="P4" s="204">
        <v>0</v>
      </c>
      <c r="Q4" s="203">
        <f t="shared" ref="Q4:Q19" si="5">+N4</f>
        <v>29717.333333333332</v>
      </c>
      <c r="R4" s="31" t="s">
        <v>104</v>
      </c>
      <c r="S4" s="31">
        <v>12</v>
      </c>
      <c r="T4" s="32">
        <f t="shared" si="0"/>
        <v>29717.333333333332</v>
      </c>
      <c r="U4" s="33">
        <v>9</v>
      </c>
      <c r="V4" s="34">
        <f t="shared" si="1"/>
        <v>39623.111111111109</v>
      </c>
      <c r="W4" s="177"/>
      <c r="X4" s="35">
        <v>0</v>
      </c>
      <c r="Y4" s="203">
        <f t="shared" si="2"/>
        <v>356608</v>
      </c>
      <c r="Z4" s="177">
        <f t="shared" si="3"/>
        <v>1002993</v>
      </c>
      <c r="AA4" s="205">
        <v>12</v>
      </c>
      <c r="AB4" s="38">
        <v>12</v>
      </c>
      <c r="AC4" s="39" t="s">
        <v>106</v>
      </c>
      <c r="AD4" s="206">
        <v>46170</v>
      </c>
      <c r="AE4" s="206">
        <v>46203</v>
      </c>
      <c r="AF4">
        <v>0</v>
      </c>
      <c r="AG4" s="177" t="s">
        <v>107</v>
      </c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7"/>
      <c r="AZ4" s="177"/>
      <c r="BA4" s="177"/>
      <c r="BB4" s="177"/>
      <c r="BC4" s="177"/>
      <c r="BD4" s="177"/>
      <c r="BE4" s="177"/>
      <c r="BF4" s="177"/>
      <c r="BG4" s="177"/>
      <c r="BH4" s="177"/>
      <c r="BI4" s="177"/>
      <c r="BJ4" s="177"/>
      <c r="BK4" s="177"/>
      <c r="BL4" s="177"/>
    </row>
    <row r="5" spans="1:64" x14ac:dyDescent="0.25">
      <c r="A5" s="51">
        <v>1003028</v>
      </c>
      <c r="B5" s="52" t="s">
        <v>111</v>
      </c>
      <c r="C5" s="53" t="s">
        <v>112</v>
      </c>
      <c r="D5" s="161">
        <v>80794</v>
      </c>
      <c r="E5" s="59">
        <v>403970</v>
      </c>
      <c r="F5" s="160">
        <v>19.999999999999996</v>
      </c>
      <c r="G5" s="56">
        <v>323176</v>
      </c>
      <c r="H5" s="198" t="s">
        <v>103</v>
      </c>
      <c r="I5" s="199">
        <v>0.05</v>
      </c>
      <c r="J5" s="200">
        <v>0.15</v>
      </c>
      <c r="K5" s="201" t="s">
        <v>104</v>
      </c>
      <c r="L5" s="201">
        <v>12</v>
      </c>
      <c r="M5" s="202" t="s">
        <v>105</v>
      </c>
      <c r="N5" s="203">
        <f t="shared" si="4"/>
        <v>26931.333333333332</v>
      </c>
      <c r="O5" s="36">
        <v>0</v>
      </c>
      <c r="P5" s="204">
        <v>0</v>
      </c>
      <c r="Q5" s="203">
        <f t="shared" si="5"/>
        <v>26931.333333333332</v>
      </c>
      <c r="R5" s="31" t="s">
        <v>104</v>
      </c>
      <c r="S5" s="31">
        <v>12</v>
      </c>
      <c r="T5" s="32">
        <f t="shared" si="0"/>
        <v>26931.333333333332</v>
      </c>
      <c r="U5" s="33">
        <v>9</v>
      </c>
      <c r="V5" s="34">
        <f t="shared" si="1"/>
        <v>35908.444444444445</v>
      </c>
      <c r="W5" s="177"/>
      <c r="X5" s="35">
        <v>0</v>
      </c>
      <c r="Y5" s="203">
        <f t="shared" si="2"/>
        <v>323176</v>
      </c>
      <c r="Z5" s="177">
        <f t="shared" si="3"/>
        <v>1003028</v>
      </c>
      <c r="AA5" s="205">
        <v>12</v>
      </c>
      <c r="AB5" s="38">
        <v>12</v>
      </c>
      <c r="AC5" s="39" t="s">
        <v>106</v>
      </c>
      <c r="AD5" s="206">
        <v>46170</v>
      </c>
      <c r="AE5" s="206">
        <v>46203</v>
      </c>
      <c r="AF5">
        <v>0</v>
      </c>
      <c r="AG5" s="177" t="s">
        <v>107</v>
      </c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7"/>
      <c r="BL5" s="177"/>
    </row>
    <row r="6" spans="1:64" x14ac:dyDescent="0.25">
      <c r="A6" s="51">
        <v>1002992</v>
      </c>
      <c r="B6" s="52" t="s">
        <v>113</v>
      </c>
      <c r="C6" s="53" t="s">
        <v>114</v>
      </c>
      <c r="D6" s="161">
        <v>89152</v>
      </c>
      <c r="E6" s="59">
        <v>445760</v>
      </c>
      <c r="F6" s="160">
        <v>19.999999999999996</v>
      </c>
      <c r="G6" s="56">
        <v>356608</v>
      </c>
      <c r="H6" s="198" t="s">
        <v>103</v>
      </c>
      <c r="I6" s="199">
        <v>0.05</v>
      </c>
      <c r="J6" s="200">
        <v>0.15</v>
      </c>
      <c r="K6" s="201" t="s">
        <v>104</v>
      </c>
      <c r="L6" s="201">
        <v>12</v>
      </c>
      <c r="M6" s="202" t="s">
        <v>105</v>
      </c>
      <c r="N6" s="203">
        <f t="shared" si="4"/>
        <v>29717.333333333332</v>
      </c>
      <c r="O6" s="36">
        <v>0</v>
      </c>
      <c r="P6" s="204">
        <v>0</v>
      </c>
      <c r="Q6" s="203">
        <f t="shared" si="5"/>
        <v>29717.333333333332</v>
      </c>
      <c r="R6" s="31" t="s">
        <v>104</v>
      </c>
      <c r="S6" s="31">
        <v>12</v>
      </c>
      <c r="T6" s="32">
        <f t="shared" si="0"/>
        <v>29717.333333333332</v>
      </c>
      <c r="U6" s="33">
        <v>9</v>
      </c>
      <c r="V6" s="34">
        <f t="shared" si="1"/>
        <v>39623.111111111109</v>
      </c>
      <c r="W6" s="177"/>
      <c r="X6" s="35">
        <v>0</v>
      </c>
      <c r="Y6" s="203">
        <f t="shared" si="2"/>
        <v>356608</v>
      </c>
      <c r="Z6" s="177">
        <f t="shared" si="3"/>
        <v>1002992</v>
      </c>
      <c r="AA6" s="205">
        <v>12</v>
      </c>
      <c r="AB6" s="38">
        <v>12</v>
      </c>
      <c r="AC6" s="39" t="s">
        <v>106</v>
      </c>
      <c r="AD6" s="206">
        <v>46170</v>
      </c>
      <c r="AE6" s="206">
        <v>46203</v>
      </c>
      <c r="AF6">
        <v>0</v>
      </c>
      <c r="AG6" s="177" t="s">
        <v>107</v>
      </c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7"/>
      <c r="AY6" s="177"/>
      <c r="AZ6" s="177"/>
      <c r="BA6" s="177"/>
      <c r="BB6" s="177"/>
      <c r="BC6" s="177"/>
      <c r="BD6" s="177"/>
      <c r="BE6" s="177"/>
      <c r="BF6" s="177"/>
      <c r="BG6" s="177"/>
      <c r="BH6" s="177"/>
      <c r="BI6" s="177"/>
      <c r="BJ6" s="177"/>
      <c r="BK6" s="177"/>
      <c r="BL6" s="177"/>
    </row>
    <row r="7" spans="1:64" x14ac:dyDescent="0.25">
      <c r="A7" s="51">
        <v>1000844</v>
      </c>
      <c r="B7" s="52" t="s">
        <v>115</v>
      </c>
      <c r="C7" s="53" t="s">
        <v>116</v>
      </c>
      <c r="D7" s="161">
        <v>88957.900000000023</v>
      </c>
      <c r="E7" s="59">
        <v>444784.9</v>
      </c>
      <c r="F7" s="160">
        <v>20.000206841554203</v>
      </c>
      <c r="G7" s="56">
        <v>355827</v>
      </c>
      <c r="H7" s="198" t="s">
        <v>103</v>
      </c>
      <c r="I7" s="199">
        <v>0.05</v>
      </c>
      <c r="J7" s="200">
        <v>0.15</v>
      </c>
      <c r="K7" s="201" t="s">
        <v>104</v>
      </c>
      <c r="L7" s="201">
        <v>12</v>
      </c>
      <c r="M7" s="202" t="s">
        <v>105</v>
      </c>
      <c r="N7" s="203">
        <f t="shared" si="4"/>
        <v>29652.25</v>
      </c>
      <c r="O7" s="36">
        <v>0</v>
      </c>
      <c r="P7" s="204">
        <v>0</v>
      </c>
      <c r="Q7" s="203">
        <f t="shared" si="5"/>
        <v>29652.25</v>
      </c>
      <c r="R7" s="31" t="s">
        <v>104</v>
      </c>
      <c r="S7" s="31">
        <v>12</v>
      </c>
      <c r="T7" s="32">
        <f t="shared" si="0"/>
        <v>29652.25</v>
      </c>
      <c r="U7" s="33">
        <v>9</v>
      </c>
      <c r="V7" s="34">
        <f t="shared" si="1"/>
        <v>39536.333333333336</v>
      </c>
      <c r="W7" s="177"/>
      <c r="X7" s="35">
        <v>0</v>
      </c>
      <c r="Y7" s="203">
        <f t="shared" si="2"/>
        <v>355827</v>
      </c>
      <c r="Z7" s="177">
        <f t="shared" si="3"/>
        <v>1000844</v>
      </c>
      <c r="AA7" s="205">
        <v>12</v>
      </c>
      <c r="AB7" s="38">
        <v>12</v>
      </c>
      <c r="AC7" s="39" t="s">
        <v>106</v>
      </c>
      <c r="AD7" s="206">
        <v>46170</v>
      </c>
      <c r="AE7" s="206">
        <v>46203</v>
      </c>
      <c r="AF7">
        <v>0</v>
      </c>
      <c r="AG7" s="177" t="s">
        <v>107</v>
      </c>
      <c r="AJ7" s="177"/>
      <c r="AK7" s="177"/>
      <c r="AL7" s="177"/>
      <c r="AM7" s="177"/>
      <c r="AN7" s="177"/>
      <c r="AO7" s="177"/>
      <c r="AP7" s="177"/>
      <c r="AQ7" s="177"/>
      <c r="AR7" s="177"/>
      <c r="AS7" s="177"/>
      <c r="AT7" s="177"/>
      <c r="AU7" s="177"/>
      <c r="AV7" s="177"/>
      <c r="AW7" s="177"/>
      <c r="AX7" s="177"/>
      <c r="AY7" s="177"/>
      <c r="AZ7" s="177"/>
      <c r="BA7" s="177"/>
      <c r="BB7" s="177"/>
      <c r="BC7" s="177"/>
      <c r="BD7" s="177"/>
      <c r="BE7" s="177"/>
      <c r="BF7" s="177"/>
      <c r="BG7" s="177"/>
      <c r="BH7" s="177"/>
      <c r="BI7" s="177"/>
      <c r="BJ7" s="177"/>
      <c r="BK7" s="177"/>
      <c r="BL7" s="177"/>
    </row>
    <row r="8" spans="1:64" x14ac:dyDescent="0.25">
      <c r="A8" s="51">
        <v>1002552</v>
      </c>
      <c r="B8" s="52" t="s">
        <v>117</v>
      </c>
      <c r="C8" s="53" t="s">
        <v>116</v>
      </c>
      <c r="D8" s="161">
        <v>75620</v>
      </c>
      <c r="E8" s="59">
        <v>378100</v>
      </c>
      <c r="F8" s="160">
        <v>19.999999999999996</v>
      </c>
      <c r="G8" s="56">
        <v>302480</v>
      </c>
      <c r="H8" s="198" t="s">
        <v>103</v>
      </c>
      <c r="I8" s="199">
        <v>0.05</v>
      </c>
      <c r="J8" s="200">
        <v>0.15</v>
      </c>
      <c r="K8" s="201" t="s">
        <v>104</v>
      </c>
      <c r="L8" s="201">
        <v>12</v>
      </c>
      <c r="M8" s="202" t="s">
        <v>105</v>
      </c>
      <c r="N8" s="203">
        <f t="shared" si="4"/>
        <v>25206.666666666668</v>
      </c>
      <c r="O8" s="36">
        <v>0</v>
      </c>
      <c r="P8" s="204">
        <v>0</v>
      </c>
      <c r="Q8" s="203">
        <f t="shared" si="5"/>
        <v>25206.666666666668</v>
      </c>
      <c r="R8" s="31" t="s">
        <v>104</v>
      </c>
      <c r="S8" s="31">
        <v>12</v>
      </c>
      <c r="T8" s="32">
        <f t="shared" si="0"/>
        <v>25206.666666666668</v>
      </c>
      <c r="U8" s="33">
        <v>9</v>
      </c>
      <c r="V8" s="34">
        <f t="shared" si="1"/>
        <v>33608.888888888891</v>
      </c>
      <c r="W8" s="177"/>
      <c r="X8" s="35">
        <v>0</v>
      </c>
      <c r="Y8" s="203">
        <f t="shared" si="2"/>
        <v>302480</v>
      </c>
      <c r="Z8" s="177">
        <f t="shared" si="3"/>
        <v>1002552</v>
      </c>
      <c r="AA8" s="205">
        <v>12</v>
      </c>
      <c r="AB8" s="38">
        <v>12</v>
      </c>
      <c r="AC8" s="39" t="s">
        <v>106</v>
      </c>
      <c r="AD8" s="206">
        <v>46170</v>
      </c>
      <c r="AE8" s="206">
        <v>46203</v>
      </c>
      <c r="AF8">
        <v>0</v>
      </c>
      <c r="AG8" s="177" t="s">
        <v>107</v>
      </c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  <c r="AW8" s="177"/>
      <c r="AX8" s="177"/>
      <c r="AY8" s="177"/>
      <c r="AZ8" s="177"/>
      <c r="BA8" s="177"/>
      <c r="BB8" s="177"/>
      <c r="BC8" s="177"/>
      <c r="BD8" s="177"/>
      <c r="BE8" s="177"/>
      <c r="BF8" s="177"/>
      <c r="BG8" s="177"/>
      <c r="BH8" s="177"/>
      <c r="BI8" s="177"/>
      <c r="BJ8" s="177"/>
      <c r="BK8" s="177"/>
      <c r="BL8" s="177"/>
    </row>
    <row r="9" spans="1:64" x14ac:dyDescent="0.25">
      <c r="A9" s="51">
        <v>1002997</v>
      </c>
      <c r="B9" s="52" t="s">
        <v>118</v>
      </c>
      <c r="C9" s="53" t="s">
        <v>114</v>
      </c>
      <c r="D9" s="161">
        <v>207239</v>
      </c>
      <c r="E9" s="59">
        <v>1036193</v>
      </c>
      <c r="F9" s="160">
        <v>20.000038602847148</v>
      </c>
      <c r="G9" s="57">
        <v>828954</v>
      </c>
      <c r="H9" s="198" t="s">
        <v>103</v>
      </c>
      <c r="I9" s="199">
        <v>0.05</v>
      </c>
      <c r="J9" s="200">
        <v>0.15</v>
      </c>
      <c r="K9" s="201" t="s">
        <v>104</v>
      </c>
      <c r="L9" s="201">
        <v>12</v>
      </c>
      <c r="M9" s="202" t="s">
        <v>105</v>
      </c>
      <c r="N9" s="203">
        <f t="shared" si="4"/>
        <v>69079.5</v>
      </c>
      <c r="O9" s="36">
        <v>0</v>
      </c>
      <c r="P9" s="204">
        <v>0</v>
      </c>
      <c r="Q9" s="203">
        <f t="shared" si="5"/>
        <v>69079.5</v>
      </c>
      <c r="R9" s="31" t="s">
        <v>104</v>
      </c>
      <c r="S9" s="31">
        <v>12</v>
      </c>
      <c r="T9" s="32">
        <f t="shared" si="0"/>
        <v>69079.5</v>
      </c>
      <c r="U9" s="33">
        <v>9</v>
      </c>
      <c r="V9" s="34">
        <f t="shared" si="1"/>
        <v>92106</v>
      </c>
      <c r="W9" s="177"/>
      <c r="X9" s="35">
        <v>0</v>
      </c>
      <c r="Y9" s="203">
        <f t="shared" si="2"/>
        <v>828954</v>
      </c>
      <c r="Z9" s="177">
        <f t="shared" si="3"/>
        <v>1002997</v>
      </c>
      <c r="AA9" s="205">
        <v>12</v>
      </c>
      <c r="AB9" s="38">
        <v>12</v>
      </c>
      <c r="AC9" s="39" t="s">
        <v>106</v>
      </c>
      <c r="AD9" s="206">
        <v>46170</v>
      </c>
      <c r="AE9" s="206">
        <v>46203</v>
      </c>
      <c r="AF9">
        <v>0</v>
      </c>
      <c r="AG9" s="177" t="s">
        <v>107</v>
      </c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177"/>
      <c r="AZ9" s="177"/>
      <c r="BA9" s="177"/>
      <c r="BB9" s="177"/>
      <c r="BC9" s="177"/>
      <c r="BD9" s="177"/>
      <c r="BE9" s="177"/>
      <c r="BF9" s="177"/>
      <c r="BG9" s="177"/>
      <c r="BH9" s="177"/>
      <c r="BI9" s="177"/>
      <c r="BJ9" s="177"/>
      <c r="BK9" s="177"/>
      <c r="BL9" s="177"/>
    </row>
    <row r="10" spans="1:64" x14ac:dyDescent="0.25">
      <c r="A10" s="51">
        <v>1003056</v>
      </c>
      <c r="B10" s="52" t="s">
        <v>119</v>
      </c>
      <c r="C10" s="53" t="s">
        <v>120</v>
      </c>
      <c r="D10" s="161">
        <v>167160</v>
      </c>
      <c r="E10" s="59">
        <v>835800</v>
      </c>
      <c r="F10" s="160">
        <v>19.999999999999996</v>
      </c>
      <c r="G10" s="56">
        <v>668640</v>
      </c>
      <c r="H10" s="198" t="s">
        <v>103</v>
      </c>
      <c r="I10" s="199">
        <v>0.05</v>
      </c>
      <c r="J10" s="200">
        <v>0.15</v>
      </c>
      <c r="K10" s="201" t="s">
        <v>104</v>
      </c>
      <c r="L10" s="201">
        <v>12</v>
      </c>
      <c r="M10" s="202" t="s">
        <v>105</v>
      </c>
      <c r="N10" s="203">
        <f t="shared" si="4"/>
        <v>55720</v>
      </c>
      <c r="O10" s="36">
        <v>0</v>
      </c>
      <c r="P10" s="204">
        <v>0</v>
      </c>
      <c r="Q10" s="203">
        <f t="shared" si="5"/>
        <v>55720</v>
      </c>
      <c r="R10" s="31" t="s">
        <v>104</v>
      </c>
      <c r="S10" s="31">
        <v>12</v>
      </c>
      <c r="T10" s="32">
        <f t="shared" si="0"/>
        <v>55720</v>
      </c>
      <c r="U10" s="33">
        <v>9</v>
      </c>
      <c r="V10" s="34">
        <f t="shared" si="1"/>
        <v>74293.333333333328</v>
      </c>
      <c r="W10" s="177"/>
      <c r="X10" s="35">
        <v>0</v>
      </c>
      <c r="Y10" s="203">
        <f t="shared" si="2"/>
        <v>668640</v>
      </c>
      <c r="Z10" s="177">
        <f t="shared" si="3"/>
        <v>1003056</v>
      </c>
      <c r="AA10" s="205">
        <v>12</v>
      </c>
      <c r="AB10" s="38">
        <v>12</v>
      </c>
      <c r="AC10" s="39" t="s">
        <v>106</v>
      </c>
      <c r="AD10" s="206">
        <v>46170</v>
      </c>
      <c r="AE10" s="206">
        <v>46203</v>
      </c>
      <c r="AF10">
        <v>0</v>
      </c>
      <c r="AG10" s="177" t="s">
        <v>107</v>
      </c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</row>
    <row r="11" spans="1:64" x14ac:dyDescent="0.25">
      <c r="A11" s="51">
        <v>1000847</v>
      </c>
      <c r="B11" s="52" t="s">
        <v>121</v>
      </c>
      <c r="C11" s="53" t="s">
        <v>116</v>
      </c>
      <c r="D11" s="161">
        <v>213169</v>
      </c>
      <c r="E11" s="59">
        <v>1065844</v>
      </c>
      <c r="F11" s="160">
        <v>20.000018764472095</v>
      </c>
      <c r="G11" s="56">
        <v>852675</v>
      </c>
      <c r="H11" s="198" t="s">
        <v>103</v>
      </c>
      <c r="I11" s="199">
        <v>0.05</v>
      </c>
      <c r="J11" s="200">
        <v>0.15</v>
      </c>
      <c r="K11" s="201" t="s">
        <v>104</v>
      </c>
      <c r="L11" s="201">
        <v>12</v>
      </c>
      <c r="M11" s="202" t="s">
        <v>105</v>
      </c>
      <c r="N11" s="203">
        <f t="shared" si="4"/>
        <v>71056.25</v>
      </c>
      <c r="O11" s="36">
        <v>0</v>
      </c>
      <c r="P11" s="204">
        <v>0</v>
      </c>
      <c r="Q11" s="203">
        <f t="shared" si="5"/>
        <v>71056.25</v>
      </c>
      <c r="R11" s="31" t="s">
        <v>104</v>
      </c>
      <c r="S11" s="31">
        <v>12</v>
      </c>
      <c r="T11" s="32">
        <f t="shared" si="0"/>
        <v>71056.25</v>
      </c>
      <c r="U11" s="33">
        <v>9</v>
      </c>
      <c r="V11" s="34">
        <f t="shared" si="1"/>
        <v>94741.666666666672</v>
      </c>
      <c r="W11" s="177"/>
      <c r="X11" s="35">
        <v>0</v>
      </c>
      <c r="Y11" s="203">
        <f t="shared" si="2"/>
        <v>852675</v>
      </c>
      <c r="Z11" s="177">
        <f t="shared" si="3"/>
        <v>1000847</v>
      </c>
      <c r="AA11" s="205">
        <v>12</v>
      </c>
      <c r="AB11" s="38">
        <v>12</v>
      </c>
      <c r="AC11" s="39" t="s">
        <v>106</v>
      </c>
      <c r="AD11" s="206">
        <v>46170</v>
      </c>
      <c r="AE11" s="206">
        <v>46203</v>
      </c>
      <c r="AF11">
        <v>0</v>
      </c>
      <c r="AG11" s="177" t="s">
        <v>107</v>
      </c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77"/>
      <c r="BK11" s="177"/>
      <c r="BL11" s="177"/>
    </row>
    <row r="12" spans="1:64" x14ac:dyDescent="0.25">
      <c r="A12" s="51">
        <v>1002569</v>
      </c>
      <c r="B12" s="52" t="s">
        <v>122</v>
      </c>
      <c r="C12" s="53" t="s">
        <v>123</v>
      </c>
      <c r="D12" s="161">
        <v>208588.15970000008</v>
      </c>
      <c r="E12" s="59">
        <v>1042939.1597000001</v>
      </c>
      <c r="F12" s="160">
        <v>20.000031426569521</v>
      </c>
      <c r="G12" s="56">
        <v>834351</v>
      </c>
      <c r="H12" s="198" t="s">
        <v>103</v>
      </c>
      <c r="I12" s="199">
        <v>0.05</v>
      </c>
      <c r="J12" s="200">
        <v>0.15</v>
      </c>
      <c r="K12" s="201" t="s">
        <v>104</v>
      </c>
      <c r="L12" s="201">
        <v>12</v>
      </c>
      <c r="M12" s="202" t="s">
        <v>105</v>
      </c>
      <c r="N12" s="203">
        <f t="shared" si="4"/>
        <v>69529.25</v>
      </c>
      <c r="O12" s="36">
        <v>0</v>
      </c>
      <c r="P12" s="204">
        <v>0</v>
      </c>
      <c r="Q12" s="203">
        <f t="shared" si="5"/>
        <v>69529.25</v>
      </c>
      <c r="R12" s="31" t="s">
        <v>104</v>
      </c>
      <c r="S12" s="31">
        <v>12</v>
      </c>
      <c r="T12" s="32">
        <f t="shared" si="0"/>
        <v>69529.25</v>
      </c>
      <c r="U12" s="33">
        <v>9</v>
      </c>
      <c r="V12" s="34">
        <f t="shared" si="1"/>
        <v>92705.666666666672</v>
      </c>
      <c r="W12" s="177"/>
      <c r="X12" s="35">
        <v>0</v>
      </c>
      <c r="Y12" s="203">
        <f t="shared" si="2"/>
        <v>834351</v>
      </c>
      <c r="Z12" s="177">
        <f t="shared" si="3"/>
        <v>1002569</v>
      </c>
      <c r="AA12" s="205">
        <v>12</v>
      </c>
      <c r="AB12" s="38">
        <v>12</v>
      </c>
      <c r="AC12" s="39" t="s">
        <v>106</v>
      </c>
      <c r="AD12" s="206">
        <v>46170</v>
      </c>
      <c r="AE12" s="206">
        <v>46203</v>
      </c>
      <c r="AF12">
        <v>0</v>
      </c>
      <c r="AG12" s="177" t="s">
        <v>107</v>
      </c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7"/>
      <c r="BC12" s="177"/>
      <c r="BD12" s="177"/>
      <c r="BE12" s="177"/>
      <c r="BF12" s="177"/>
      <c r="BG12" s="177"/>
      <c r="BH12" s="177"/>
      <c r="BI12" s="177"/>
      <c r="BJ12" s="177"/>
      <c r="BK12" s="177"/>
      <c r="BL12" s="177"/>
    </row>
    <row r="13" spans="1:64" x14ac:dyDescent="0.25">
      <c r="A13" s="198">
        <v>1002563</v>
      </c>
      <c r="B13" s="2" t="s">
        <v>124</v>
      </c>
      <c r="C13" s="201" t="s">
        <v>112</v>
      </c>
      <c r="D13" s="207">
        <v>242780</v>
      </c>
      <c r="E13" s="58">
        <v>1213900</v>
      </c>
      <c r="F13" s="208">
        <v>19.999999999999996</v>
      </c>
      <c r="G13" s="55">
        <v>971120</v>
      </c>
      <c r="H13" s="198" t="s">
        <v>103</v>
      </c>
      <c r="I13" s="199">
        <v>0.05</v>
      </c>
      <c r="J13" s="200">
        <v>0.15</v>
      </c>
      <c r="K13" s="201" t="s">
        <v>104</v>
      </c>
      <c r="L13" s="201">
        <v>12</v>
      </c>
      <c r="M13" s="202" t="s">
        <v>105</v>
      </c>
      <c r="N13" s="203">
        <f t="shared" si="4"/>
        <v>80926.666666666672</v>
      </c>
      <c r="O13" s="36">
        <v>0</v>
      </c>
      <c r="P13" s="204">
        <v>0</v>
      </c>
      <c r="Q13" s="203">
        <f t="shared" si="5"/>
        <v>80926.666666666672</v>
      </c>
      <c r="R13" s="31" t="s">
        <v>104</v>
      </c>
      <c r="S13" s="31">
        <v>12</v>
      </c>
      <c r="T13" s="32">
        <f t="shared" si="0"/>
        <v>80926.666666666672</v>
      </c>
      <c r="U13" s="33">
        <v>9</v>
      </c>
      <c r="V13" s="34">
        <f t="shared" si="1"/>
        <v>107902.22222222222</v>
      </c>
      <c r="W13" s="177"/>
      <c r="X13" s="35">
        <v>0</v>
      </c>
      <c r="Y13" s="203">
        <f t="shared" si="2"/>
        <v>971120</v>
      </c>
      <c r="Z13" s="177">
        <f t="shared" si="3"/>
        <v>1002563</v>
      </c>
      <c r="AA13" s="205">
        <v>12</v>
      </c>
      <c r="AB13" s="38">
        <v>12</v>
      </c>
      <c r="AC13" s="39" t="s">
        <v>106</v>
      </c>
      <c r="AD13" s="206">
        <v>46170</v>
      </c>
      <c r="AE13" s="206">
        <v>46203</v>
      </c>
      <c r="AF13">
        <v>0</v>
      </c>
      <c r="AG13" s="177" t="s">
        <v>107</v>
      </c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7"/>
      <c r="BA13" s="177"/>
      <c r="BB13" s="177"/>
      <c r="BC13" s="177"/>
      <c r="BD13" s="177"/>
      <c r="BE13" s="177"/>
      <c r="BF13" s="177"/>
      <c r="BG13" s="177"/>
      <c r="BH13" s="177"/>
      <c r="BI13" s="177"/>
      <c r="BJ13" s="177"/>
      <c r="BK13" s="177"/>
      <c r="BL13" s="177"/>
    </row>
    <row r="14" spans="1:64" x14ac:dyDescent="0.25">
      <c r="A14" s="51">
        <v>1002999</v>
      </c>
      <c r="B14" s="52" t="s">
        <v>125</v>
      </c>
      <c r="C14" s="53" t="s">
        <v>114</v>
      </c>
      <c r="D14" s="161">
        <v>395851</v>
      </c>
      <c r="E14" s="59">
        <v>1979254</v>
      </c>
      <c r="F14" s="160">
        <v>20.000010104817267</v>
      </c>
      <c r="G14" s="57">
        <v>1583403</v>
      </c>
      <c r="H14" s="198" t="s">
        <v>103</v>
      </c>
      <c r="I14" s="199">
        <v>0.05</v>
      </c>
      <c r="J14" s="200">
        <v>0.15</v>
      </c>
      <c r="K14" s="201" t="s">
        <v>104</v>
      </c>
      <c r="L14" s="201">
        <v>12</v>
      </c>
      <c r="M14" s="202" t="s">
        <v>105</v>
      </c>
      <c r="N14" s="203">
        <f t="shared" si="4"/>
        <v>131950.25</v>
      </c>
      <c r="O14" s="36">
        <v>0</v>
      </c>
      <c r="P14" s="204">
        <v>0</v>
      </c>
      <c r="Q14" s="203">
        <f t="shared" si="5"/>
        <v>131950.25</v>
      </c>
      <c r="R14" s="31" t="s">
        <v>104</v>
      </c>
      <c r="S14" s="31">
        <v>12</v>
      </c>
      <c r="T14" s="32">
        <f t="shared" si="0"/>
        <v>131950.25</v>
      </c>
      <c r="U14" s="33">
        <v>9</v>
      </c>
      <c r="V14" s="34">
        <f t="shared" si="1"/>
        <v>175933.66666666666</v>
      </c>
      <c r="W14" s="177"/>
      <c r="X14" s="35">
        <v>0</v>
      </c>
      <c r="Y14" s="203">
        <f t="shared" si="2"/>
        <v>1583403</v>
      </c>
      <c r="Z14" s="177">
        <f t="shared" si="3"/>
        <v>1002999</v>
      </c>
      <c r="AA14" s="205">
        <v>12</v>
      </c>
      <c r="AB14" s="38">
        <v>12</v>
      </c>
      <c r="AC14" s="39" t="s">
        <v>106</v>
      </c>
      <c r="AD14" s="206">
        <v>46170</v>
      </c>
      <c r="AE14" s="206">
        <v>46203</v>
      </c>
      <c r="AF14">
        <v>0</v>
      </c>
      <c r="AG14" s="177" t="s">
        <v>107</v>
      </c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</row>
    <row r="15" spans="1:64" x14ac:dyDescent="0.25">
      <c r="A15" s="51">
        <v>1003059</v>
      </c>
      <c r="B15" s="52" t="s">
        <v>126</v>
      </c>
      <c r="C15" s="53" t="s">
        <v>116</v>
      </c>
      <c r="D15" s="161">
        <v>338300</v>
      </c>
      <c r="E15" s="59">
        <v>1691500</v>
      </c>
      <c r="F15" s="160">
        <v>19.999999999999996</v>
      </c>
      <c r="G15" s="57">
        <v>1353200</v>
      </c>
      <c r="H15" s="198" t="s">
        <v>103</v>
      </c>
      <c r="I15" s="199">
        <v>0.05</v>
      </c>
      <c r="J15" s="200">
        <v>0.15</v>
      </c>
      <c r="K15" s="201" t="s">
        <v>104</v>
      </c>
      <c r="L15" s="201">
        <v>12</v>
      </c>
      <c r="M15" s="202" t="s">
        <v>105</v>
      </c>
      <c r="N15" s="203">
        <f t="shared" si="4"/>
        <v>112766.66666666667</v>
      </c>
      <c r="O15" s="36">
        <v>0</v>
      </c>
      <c r="P15" s="204">
        <v>0</v>
      </c>
      <c r="Q15" s="203">
        <f t="shared" si="5"/>
        <v>112766.66666666667</v>
      </c>
      <c r="R15" s="31" t="s">
        <v>104</v>
      </c>
      <c r="S15" s="31">
        <v>12</v>
      </c>
      <c r="T15" s="32">
        <f t="shared" si="0"/>
        <v>112766.66666666667</v>
      </c>
      <c r="U15" s="33">
        <v>9</v>
      </c>
      <c r="V15" s="34">
        <f t="shared" si="1"/>
        <v>150355.55555555556</v>
      </c>
      <c r="W15" s="177"/>
      <c r="X15" s="35">
        <v>0</v>
      </c>
      <c r="Y15" s="203">
        <f t="shared" si="2"/>
        <v>1353200</v>
      </c>
      <c r="Z15" s="177">
        <f t="shared" si="3"/>
        <v>1003059</v>
      </c>
      <c r="AA15" s="205">
        <v>12</v>
      </c>
      <c r="AB15" s="38">
        <v>12</v>
      </c>
      <c r="AC15" s="39" t="s">
        <v>106</v>
      </c>
      <c r="AD15" s="206">
        <v>46170</v>
      </c>
      <c r="AE15" s="206">
        <v>46203</v>
      </c>
      <c r="AF15">
        <v>0</v>
      </c>
      <c r="AG15" s="177" t="s">
        <v>107</v>
      </c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</row>
    <row r="16" spans="1:64" x14ac:dyDescent="0.25">
      <c r="A16" s="51">
        <v>1002729</v>
      </c>
      <c r="B16" s="52" t="s">
        <v>127</v>
      </c>
      <c r="C16" s="53" t="s">
        <v>128</v>
      </c>
      <c r="D16" s="161">
        <v>57641.729999999981</v>
      </c>
      <c r="E16" s="59">
        <v>288205.73</v>
      </c>
      <c r="F16" s="160">
        <v>20.000202633028842</v>
      </c>
      <c r="G16" s="56">
        <v>230564</v>
      </c>
      <c r="H16" s="198" t="s">
        <v>103</v>
      </c>
      <c r="I16" s="199">
        <v>0.05</v>
      </c>
      <c r="J16" s="200">
        <v>0.15</v>
      </c>
      <c r="K16" s="201" t="s">
        <v>104</v>
      </c>
      <c r="L16" s="201">
        <v>12</v>
      </c>
      <c r="M16" s="202" t="s">
        <v>105</v>
      </c>
      <c r="N16" s="203">
        <f t="shared" si="4"/>
        <v>19213.666666666668</v>
      </c>
      <c r="O16" s="36">
        <v>0</v>
      </c>
      <c r="P16" s="204">
        <v>0</v>
      </c>
      <c r="Q16" s="203">
        <f t="shared" si="5"/>
        <v>19213.666666666668</v>
      </c>
      <c r="R16" s="31" t="s">
        <v>104</v>
      </c>
      <c r="S16" s="31">
        <v>12</v>
      </c>
      <c r="T16" s="32">
        <f t="shared" si="0"/>
        <v>19213.666666666668</v>
      </c>
      <c r="U16" s="33">
        <v>9</v>
      </c>
      <c r="V16" s="34">
        <f t="shared" si="1"/>
        <v>25618.222222222223</v>
      </c>
      <c r="W16" s="177"/>
      <c r="X16" s="35">
        <v>0</v>
      </c>
      <c r="Y16" s="203">
        <f t="shared" si="2"/>
        <v>230564</v>
      </c>
      <c r="Z16" s="177">
        <f t="shared" si="3"/>
        <v>1002729</v>
      </c>
      <c r="AA16" s="205">
        <v>12</v>
      </c>
      <c r="AB16" s="38">
        <v>12</v>
      </c>
      <c r="AC16" s="39" t="s">
        <v>106</v>
      </c>
      <c r="AD16" s="206">
        <v>46170</v>
      </c>
      <c r="AE16" s="206">
        <v>46203</v>
      </c>
      <c r="AF16">
        <v>0</v>
      </c>
      <c r="AG16" s="177" t="s">
        <v>107</v>
      </c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</row>
    <row r="17" spans="1:64" x14ac:dyDescent="0.25">
      <c r="A17" s="51">
        <v>1001067</v>
      </c>
      <c r="B17" s="52" t="s">
        <v>129</v>
      </c>
      <c r="C17" s="53" t="s">
        <v>123</v>
      </c>
      <c r="D17" s="161">
        <v>107670.59069999994</v>
      </c>
      <c r="E17" s="59">
        <v>538348.59069999994</v>
      </c>
      <c r="F17" s="160">
        <v>20.000162080855233</v>
      </c>
      <c r="G17" s="56">
        <v>430678</v>
      </c>
      <c r="H17" s="198" t="s">
        <v>103</v>
      </c>
      <c r="I17" s="199">
        <v>0.05</v>
      </c>
      <c r="J17" s="200">
        <v>0.15</v>
      </c>
      <c r="K17" s="201" t="s">
        <v>104</v>
      </c>
      <c r="L17" s="201">
        <v>12</v>
      </c>
      <c r="M17" s="202" t="s">
        <v>105</v>
      </c>
      <c r="N17" s="203">
        <f t="shared" si="4"/>
        <v>35889.833333333336</v>
      </c>
      <c r="O17" s="36">
        <v>0</v>
      </c>
      <c r="P17" s="204">
        <v>0</v>
      </c>
      <c r="Q17" s="203">
        <f t="shared" si="5"/>
        <v>35889.833333333336</v>
      </c>
      <c r="R17" s="31" t="s">
        <v>104</v>
      </c>
      <c r="S17" s="31">
        <v>12</v>
      </c>
      <c r="T17" s="32">
        <f t="shared" si="0"/>
        <v>35889.833333333336</v>
      </c>
      <c r="U17" s="33">
        <v>9</v>
      </c>
      <c r="V17" s="34">
        <f t="shared" si="1"/>
        <v>47853.111111111109</v>
      </c>
      <c r="W17" s="177"/>
      <c r="X17" s="35">
        <v>0</v>
      </c>
      <c r="Y17" s="203">
        <f t="shared" si="2"/>
        <v>430678</v>
      </c>
      <c r="Z17" s="177">
        <f t="shared" si="3"/>
        <v>1001067</v>
      </c>
      <c r="AA17" s="205">
        <v>12</v>
      </c>
      <c r="AB17" s="38">
        <v>12</v>
      </c>
      <c r="AC17" s="39" t="s">
        <v>106</v>
      </c>
      <c r="AD17" s="206">
        <v>46170</v>
      </c>
      <c r="AE17" s="206">
        <v>46203</v>
      </c>
      <c r="AF17">
        <v>0</v>
      </c>
      <c r="AG17" s="177" t="s">
        <v>107</v>
      </c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7"/>
      <c r="BK17" s="177"/>
      <c r="BL17" s="177"/>
    </row>
    <row r="18" spans="1:64" x14ac:dyDescent="0.25">
      <c r="A18" s="51">
        <v>1002730</v>
      </c>
      <c r="B18" s="52" t="s">
        <v>130</v>
      </c>
      <c r="C18" s="53" t="s">
        <v>128</v>
      </c>
      <c r="D18" s="161">
        <v>92225.770000000019</v>
      </c>
      <c r="E18" s="59">
        <v>461128.77</v>
      </c>
      <c r="F18" s="160">
        <v>20.000003469746641</v>
      </c>
      <c r="G18" s="56">
        <v>368903</v>
      </c>
      <c r="H18" s="198" t="s">
        <v>103</v>
      </c>
      <c r="I18" s="199">
        <v>0.05</v>
      </c>
      <c r="J18" s="200">
        <v>0.15</v>
      </c>
      <c r="K18" s="201" t="s">
        <v>104</v>
      </c>
      <c r="L18" s="201">
        <v>12</v>
      </c>
      <c r="M18" s="202" t="s">
        <v>105</v>
      </c>
      <c r="N18" s="203">
        <f t="shared" si="4"/>
        <v>30741.916666666668</v>
      </c>
      <c r="O18" s="36">
        <v>0</v>
      </c>
      <c r="P18" s="204">
        <v>0</v>
      </c>
      <c r="Q18" s="203">
        <f t="shared" si="5"/>
        <v>30741.916666666668</v>
      </c>
      <c r="R18" s="31" t="s">
        <v>104</v>
      </c>
      <c r="S18" s="31">
        <v>12</v>
      </c>
      <c r="T18" s="32">
        <f t="shared" si="0"/>
        <v>30741.916666666668</v>
      </c>
      <c r="U18" s="33">
        <v>9</v>
      </c>
      <c r="V18" s="34">
        <f t="shared" si="1"/>
        <v>40989.222222222219</v>
      </c>
      <c r="W18" s="177"/>
      <c r="X18" s="35">
        <v>0</v>
      </c>
      <c r="Y18" s="203">
        <f t="shared" si="2"/>
        <v>368903</v>
      </c>
      <c r="Z18" s="177">
        <f t="shared" si="3"/>
        <v>1002730</v>
      </c>
      <c r="AA18" s="205">
        <v>12</v>
      </c>
      <c r="AB18" s="38">
        <v>12</v>
      </c>
      <c r="AC18" s="39" t="s">
        <v>106</v>
      </c>
      <c r="AD18" s="206">
        <v>46170</v>
      </c>
      <c r="AE18" s="206">
        <v>46203</v>
      </c>
      <c r="AF18">
        <v>0</v>
      </c>
      <c r="AG18" s="177" t="s">
        <v>107</v>
      </c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7"/>
      <c r="BK18" s="177"/>
      <c r="BL18" s="177"/>
    </row>
    <row r="19" spans="1:64" x14ac:dyDescent="0.25">
      <c r="A19" s="51">
        <v>1001272</v>
      </c>
      <c r="B19" s="52" t="s">
        <v>131</v>
      </c>
      <c r="C19" s="53" t="s">
        <v>132</v>
      </c>
      <c r="D19" s="161">
        <v>41901.110499999981</v>
      </c>
      <c r="E19" s="59">
        <v>209505.11049999998</v>
      </c>
      <c r="F19" s="160">
        <v>20.000042194674762</v>
      </c>
      <c r="G19" s="56">
        <v>167604</v>
      </c>
      <c r="H19" s="198" t="s">
        <v>103</v>
      </c>
      <c r="I19" s="199">
        <v>0.05</v>
      </c>
      <c r="J19" s="200">
        <v>0.15</v>
      </c>
      <c r="K19" s="201" t="s">
        <v>104</v>
      </c>
      <c r="L19" s="201">
        <v>12</v>
      </c>
      <c r="M19" s="202" t="s">
        <v>105</v>
      </c>
      <c r="N19" s="203">
        <f t="shared" si="4"/>
        <v>13967</v>
      </c>
      <c r="O19" s="36">
        <v>0</v>
      </c>
      <c r="P19" s="204">
        <v>0</v>
      </c>
      <c r="Q19" s="203">
        <f t="shared" si="5"/>
        <v>13967</v>
      </c>
      <c r="R19" s="31" t="s">
        <v>104</v>
      </c>
      <c r="S19" s="31">
        <v>12</v>
      </c>
      <c r="T19" s="32">
        <f t="shared" si="0"/>
        <v>13967</v>
      </c>
      <c r="U19" s="33">
        <v>9</v>
      </c>
      <c r="V19" s="34">
        <f t="shared" si="1"/>
        <v>18622.666666666668</v>
      </c>
      <c r="W19" s="177"/>
      <c r="X19" s="35">
        <v>0</v>
      </c>
      <c r="Y19" s="203">
        <f t="shared" si="2"/>
        <v>167604</v>
      </c>
      <c r="Z19" s="177">
        <f t="shared" si="3"/>
        <v>1001272</v>
      </c>
      <c r="AA19" s="205">
        <v>12</v>
      </c>
      <c r="AB19" s="38">
        <v>12</v>
      </c>
      <c r="AC19" s="39" t="s">
        <v>106</v>
      </c>
      <c r="AD19" s="206">
        <v>46170</v>
      </c>
      <c r="AE19" s="206">
        <v>46203</v>
      </c>
      <c r="AF19">
        <v>0</v>
      </c>
      <c r="AG19" s="177" t="s">
        <v>107</v>
      </c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</row>
    <row r="20" spans="1:64" x14ac:dyDescent="0.25">
      <c r="A20" s="51">
        <v>1002394</v>
      </c>
      <c r="B20" s="52" t="s">
        <v>133</v>
      </c>
      <c r="C20" s="53" t="s">
        <v>110</v>
      </c>
      <c r="D20" s="53" t="s">
        <v>134</v>
      </c>
      <c r="E20" s="59">
        <v>25541.4</v>
      </c>
      <c r="F20" s="165">
        <v>0.17</v>
      </c>
      <c r="G20" s="57">
        <v>21199.360000000001</v>
      </c>
      <c r="H20" s="198" t="s">
        <v>135</v>
      </c>
      <c r="I20" s="199">
        <v>0.05</v>
      </c>
      <c r="J20" s="200">
        <v>0.15</v>
      </c>
      <c r="K20" s="201" t="s">
        <v>104</v>
      </c>
      <c r="L20" s="201">
        <v>12</v>
      </c>
      <c r="M20" s="202" t="s">
        <v>105</v>
      </c>
      <c r="N20" s="203">
        <f t="shared" si="4"/>
        <v>1766.6133333333335</v>
      </c>
      <c r="O20" s="36">
        <v>0</v>
      </c>
      <c r="P20" s="204">
        <v>0</v>
      </c>
      <c r="Q20" s="203">
        <f t="shared" ref="Q20:Q29" si="6">+N20</f>
        <v>1766.6133333333335</v>
      </c>
      <c r="R20" s="31" t="s">
        <v>104</v>
      </c>
      <c r="S20" s="31">
        <v>12</v>
      </c>
      <c r="T20" s="32">
        <f t="shared" si="0"/>
        <v>1766.6133333333335</v>
      </c>
      <c r="U20" s="33">
        <v>9</v>
      </c>
      <c r="V20" s="34">
        <f t="shared" ref="V20:V29" si="7">+G20/9</f>
        <v>2355.4844444444443</v>
      </c>
      <c r="W20" s="177"/>
      <c r="X20" s="35">
        <v>0</v>
      </c>
      <c r="Y20" s="203">
        <f t="shared" ref="Y20:Y29" si="8">+G20</f>
        <v>21199.360000000001</v>
      </c>
      <c r="Z20" s="177">
        <f t="shared" ref="Z20:Z29" si="9">+A20</f>
        <v>1002394</v>
      </c>
      <c r="AA20" s="205">
        <v>12</v>
      </c>
      <c r="AB20" s="38">
        <v>12</v>
      </c>
      <c r="AC20" s="39" t="s">
        <v>106</v>
      </c>
      <c r="AD20" s="206">
        <v>46175</v>
      </c>
      <c r="AE20" s="206">
        <v>46196</v>
      </c>
      <c r="AF20">
        <v>0</v>
      </c>
      <c r="AG20" s="177" t="s">
        <v>107</v>
      </c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7"/>
      <c r="BK20" s="177"/>
      <c r="BL20" s="177"/>
    </row>
    <row r="21" spans="1:64" x14ac:dyDescent="0.25">
      <c r="A21" s="198">
        <v>1002588</v>
      </c>
      <c r="B21" s="2" t="s">
        <v>136</v>
      </c>
      <c r="C21" s="201" t="s">
        <v>137</v>
      </c>
      <c r="D21" s="201" t="s">
        <v>138</v>
      </c>
      <c r="E21" s="58">
        <v>43442.54</v>
      </c>
      <c r="F21" s="209">
        <v>0.17</v>
      </c>
      <c r="G21" s="55">
        <v>36057.31</v>
      </c>
      <c r="H21" s="198" t="s">
        <v>135</v>
      </c>
      <c r="I21" s="199">
        <v>0.05</v>
      </c>
      <c r="J21" s="200">
        <v>0.15</v>
      </c>
      <c r="K21" s="201" t="s">
        <v>104</v>
      </c>
      <c r="L21" s="201">
        <v>12</v>
      </c>
      <c r="M21" s="202" t="s">
        <v>105</v>
      </c>
      <c r="N21" s="203">
        <f t="shared" si="4"/>
        <v>3004.7758333333331</v>
      </c>
      <c r="O21" s="36">
        <v>0</v>
      </c>
      <c r="P21" s="204">
        <v>0</v>
      </c>
      <c r="Q21" s="203">
        <f t="shared" si="6"/>
        <v>3004.7758333333331</v>
      </c>
      <c r="R21" s="31" t="s">
        <v>104</v>
      </c>
      <c r="S21" s="31">
        <v>12</v>
      </c>
      <c r="T21" s="32">
        <f t="shared" si="0"/>
        <v>3004.7758333333331</v>
      </c>
      <c r="U21" s="33">
        <v>9</v>
      </c>
      <c r="V21" s="34">
        <f t="shared" si="7"/>
        <v>4006.3677777777775</v>
      </c>
      <c r="W21" s="177"/>
      <c r="X21" s="35">
        <v>0</v>
      </c>
      <c r="Y21" s="203">
        <f t="shared" si="8"/>
        <v>36057.31</v>
      </c>
      <c r="Z21" s="177">
        <f t="shared" si="9"/>
        <v>1002588</v>
      </c>
      <c r="AA21" s="205">
        <v>12</v>
      </c>
      <c r="AB21" s="38">
        <v>12</v>
      </c>
      <c r="AC21" s="39" t="s">
        <v>106</v>
      </c>
      <c r="AD21" s="206">
        <v>46175</v>
      </c>
      <c r="AE21" s="206">
        <v>46196</v>
      </c>
      <c r="AF21">
        <v>0</v>
      </c>
      <c r="AG21" s="177" t="s">
        <v>107</v>
      </c>
    </row>
    <row r="22" spans="1:64" x14ac:dyDescent="0.25">
      <c r="A22" s="51">
        <v>90470</v>
      </c>
      <c r="B22" s="52" t="s">
        <v>139</v>
      </c>
      <c r="C22" s="53" t="s">
        <v>140</v>
      </c>
      <c r="D22" s="53" t="s">
        <v>141</v>
      </c>
      <c r="E22" s="59">
        <v>464296.77</v>
      </c>
      <c r="F22" s="165">
        <v>0.17</v>
      </c>
      <c r="G22" s="57">
        <v>385366.32</v>
      </c>
      <c r="H22" s="198" t="s">
        <v>135</v>
      </c>
      <c r="I22" s="199">
        <v>0.05</v>
      </c>
      <c r="J22" s="200">
        <v>0.15</v>
      </c>
      <c r="K22" s="201" t="s">
        <v>104</v>
      </c>
      <c r="L22" s="201">
        <v>12</v>
      </c>
      <c r="M22" s="202" t="s">
        <v>105</v>
      </c>
      <c r="N22" s="203">
        <f t="shared" si="4"/>
        <v>32113.86</v>
      </c>
      <c r="O22" s="36">
        <v>0</v>
      </c>
      <c r="P22" s="204">
        <v>0</v>
      </c>
      <c r="Q22" s="203">
        <f t="shared" si="6"/>
        <v>32113.86</v>
      </c>
      <c r="R22" s="31" t="s">
        <v>104</v>
      </c>
      <c r="S22" s="31">
        <v>12</v>
      </c>
      <c r="T22" s="32">
        <f t="shared" si="0"/>
        <v>32113.86</v>
      </c>
      <c r="U22" s="33">
        <v>9</v>
      </c>
      <c r="V22" s="34">
        <f t="shared" si="7"/>
        <v>42818.48</v>
      </c>
      <c r="W22" s="177"/>
      <c r="X22" s="35">
        <v>0</v>
      </c>
      <c r="Y22" s="203">
        <f t="shared" si="8"/>
        <v>385366.32</v>
      </c>
      <c r="Z22" s="177">
        <f t="shared" si="9"/>
        <v>90470</v>
      </c>
      <c r="AA22" s="205">
        <v>12</v>
      </c>
      <c r="AB22" s="38">
        <v>12</v>
      </c>
      <c r="AC22" s="39" t="s">
        <v>106</v>
      </c>
      <c r="AD22" s="206">
        <v>46175</v>
      </c>
      <c r="AE22" s="206">
        <v>46196</v>
      </c>
      <c r="AF22">
        <v>0</v>
      </c>
      <c r="AG22" s="177" t="s">
        <v>107</v>
      </c>
    </row>
    <row r="23" spans="1:64" x14ac:dyDescent="0.25">
      <c r="A23" s="51">
        <v>999680</v>
      </c>
      <c r="B23" s="52" t="s">
        <v>142</v>
      </c>
      <c r="C23" s="53" t="s">
        <v>140</v>
      </c>
      <c r="D23" s="53" t="s">
        <v>143</v>
      </c>
      <c r="E23" s="59">
        <v>661484.49</v>
      </c>
      <c r="F23" s="165">
        <v>0.17</v>
      </c>
      <c r="G23" s="55">
        <v>549032.12</v>
      </c>
      <c r="H23" s="198" t="s">
        <v>135</v>
      </c>
      <c r="I23" s="199">
        <v>0.05</v>
      </c>
      <c r="J23" s="200">
        <v>0.15</v>
      </c>
      <c r="K23" s="201" t="s">
        <v>104</v>
      </c>
      <c r="L23" s="201">
        <v>12</v>
      </c>
      <c r="M23" s="202" t="s">
        <v>105</v>
      </c>
      <c r="N23" s="203">
        <f t="shared" si="4"/>
        <v>45752.676666666666</v>
      </c>
      <c r="O23" s="36">
        <v>0</v>
      </c>
      <c r="P23" s="204">
        <v>0</v>
      </c>
      <c r="Q23" s="203">
        <f t="shared" si="6"/>
        <v>45752.676666666666</v>
      </c>
      <c r="R23" s="31" t="s">
        <v>104</v>
      </c>
      <c r="S23" s="31">
        <v>12</v>
      </c>
      <c r="T23" s="32">
        <f t="shared" si="0"/>
        <v>45752.676666666666</v>
      </c>
      <c r="U23" s="33">
        <v>9</v>
      </c>
      <c r="V23" s="34">
        <f t="shared" si="7"/>
        <v>61003.568888888891</v>
      </c>
      <c r="W23" s="177"/>
      <c r="X23" s="35">
        <v>0</v>
      </c>
      <c r="Y23" s="203">
        <f t="shared" si="8"/>
        <v>549032.12</v>
      </c>
      <c r="Z23" s="177">
        <f t="shared" si="9"/>
        <v>999680</v>
      </c>
      <c r="AA23" s="205">
        <v>12</v>
      </c>
      <c r="AB23" s="38">
        <v>12</v>
      </c>
      <c r="AC23" s="39" t="s">
        <v>106</v>
      </c>
      <c r="AD23" s="206">
        <v>46175</v>
      </c>
      <c r="AE23" s="206">
        <v>46196</v>
      </c>
      <c r="AF23">
        <v>0</v>
      </c>
      <c r="AG23" s="177" t="s">
        <v>107</v>
      </c>
    </row>
    <row r="24" spans="1:64" x14ac:dyDescent="0.25">
      <c r="A24" s="51">
        <v>82918</v>
      </c>
      <c r="B24" s="52" t="s">
        <v>144</v>
      </c>
      <c r="C24" s="53" t="s">
        <v>145</v>
      </c>
      <c r="D24" s="53" t="s">
        <v>146</v>
      </c>
      <c r="E24" s="59">
        <v>578340.25</v>
      </c>
      <c r="F24" s="165">
        <v>0.17</v>
      </c>
      <c r="G24" s="57">
        <v>480022.41</v>
      </c>
      <c r="H24" s="198" t="s">
        <v>135</v>
      </c>
      <c r="I24" s="199">
        <v>0.05</v>
      </c>
      <c r="J24" s="200">
        <v>0.15</v>
      </c>
      <c r="K24" s="201" t="s">
        <v>104</v>
      </c>
      <c r="L24" s="201">
        <v>12</v>
      </c>
      <c r="M24" s="202" t="s">
        <v>105</v>
      </c>
      <c r="N24" s="203">
        <f t="shared" si="4"/>
        <v>40001.8675</v>
      </c>
      <c r="O24" s="36">
        <v>0</v>
      </c>
      <c r="P24" s="204">
        <v>0</v>
      </c>
      <c r="Q24" s="203">
        <f t="shared" si="6"/>
        <v>40001.8675</v>
      </c>
      <c r="R24" s="31" t="s">
        <v>104</v>
      </c>
      <c r="S24" s="31">
        <v>12</v>
      </c>
      <c r="T24" s="32">
        <f t="shared" si="0"/>
        <v>40001.8675</v>
      </c>
      <c r="U24" s="33">
        <v>9</v>
      </c>
      <c r="V24" s="34">
        <f t="shared" si="7"/>
        <v>53335.823333333334</v>
      </c>
      <c r="W24" s="177"/>
      <c r="X24" s="35">
        <v>0</v>
      </c>
      <c r="Y24" s="203">
        <f t="shared" si="8"/>
        <v>480022.41</v>
      </c>
      <c r="Z24" s="177">
        <f t="shared" si="9"/>
        <v>82918</v>
      </c>
      <c r="AA24" s="205">
        <v>12</v>
      </c>
      <c r="AB24" s="38">
        <v>12</v>
      </c>
      <c r="AC24" s="39" t="s">
        <v>106</v>
      </c>
      <c r="AD24" s="206">
        <v>46175</v>
      </c>
      <c r="AE24" s="206">
        <v>46196</v>
      </c>
      <c r="AF24">
        <v>0</v>
      </c>
      <c r="AG24" s="177" t="s">
        <v>107</v>
      </c>
    </row>
    <row r="25" spans="1:64" x14ac:dyDescent="0.25">
      <c r="A25" s="51">
        <v>998097</v>
      </c>
      <c r="B25" s="52" t="s">
        <v>147</v>
      </c>
      <c r="C25" s="53" t="s">
        <v>148</v>
      </c>
      <c r="D25" s="53" t="s">
        <v>149</v>
      </c>
      <c r="E25" s="59">
        <v>778219.81</v>
      </c>
      <c r="F25" s="165">
        <v>0.17</v>
      </c>
      <c r="G25" s="57">
        <v>645922.43999999994</v>
      </c>
      <c r="H25" s="198" t="s">
        <v>135</v>
      </c>
      <c r="I25" s="199">
        <v>0.05</v>
      </c>
      <c r="J25" s="200">
        <v>0.15</v>
      </c>
      <c r="K25" s="201" t="s">
        <v>104</v>
      </c>
      <c r="L25" s="201">
        <v>12</v>
      </c>
      <c r="M25" s="202" t="s">
        <v>105</v>
      </c>
      <c r="N25" s="203">
        <f t="shared" si="4"/>
        <v>53826.869999999995</v>
      </c>
      <c r="O25" s="36">
        <v>0</v>
      </c>
      <c r="P25" s="204">
        <v>0</v>
      </c>
      <c r="Q25" s="203">
        <f t="shared" si="6"/>
        <v>53826.869999999995</v>
      </c>
      <c r="R25" s="31" t="s">
        <v>104</v>
      </c>
      <c r="S25" s="31">
        <v>12</v>
      </c>
      <c r="T25" s="32">
        <f t="shared" si="0"/>
        <v>53826.869999999995</v>
      </c>
      <c r="U25" s="33">
        <v>9</v>
      </c>
      <c r="V25" s="34">
        <f t="shared" si="7"/>
        <v>71769.159999999989</v>
      </c>
      <c r="W25" s="177"/>
      <c r="X25" s="35">
        <v>0</v>
      </c>
      <c r="Y25" s="203">
        <f t="shared" si="8"/>
        <v>645922.43999999994</v>
      </c>
      <c r="Z25" s="177">
        <f t="shared" si="9"/>
        <v>998097</v>
      </c>
      <c r="AA25" s="205">
        <v>12</v>
      </c>
      <c r="AB25" s="38">
        <v>12</v>
      </c>
      <c r="AC25" s="39" t="s">
        <v>106</v>
      </c>
      <c r="AD25" s="206">
        <v>46175</v>
      </c>
      <c r="AE25" s="206">
        <v>46196</v>
      </c>
      <c r="AF25">
        <v>0</v>
      </c>
      <c r="AG25" s="177" t="s">
        <v>107</v>
      </c>
    </row>
    <row r="26" spans="1:64" x14ac:dyDescent="0.25">
      <c r="A26" s="1">
        <v>89807</v>
      </c>
      <c r="B26" s="47" t="s">
        <v>150</v>
      </c>
      <c r="C26" s="48" t="s">
        <v>151</v>
      </c>
      <c r="D26" s="48" t="s">
        <v>152</v>
      </c>
      <c r="E26" s="60">
        <v>256263.38</v>
      </c>
      <c r="F26" s="166">
        <v>0.17</v>
      </c>
      <c r="G26" s="57">
        <v>212698.61</v>
      </c>
      <c r="H26" s="198" t="s">
        <v>135</v>
      </c>
      <c r="I26" s="199">
        <v>0.05</v>
      </c>
      <c r="J26" s="200">
        <v>0.15</v>
      </c>
      <c r="K26" s="201" t="s">
        <v>104</v>
      </c>
      <c r="L26" s="201">
        <v>12</v>
      </c>
      <c r="M26" s="202" t="s">
        <v>105</v>
      </c>
      <c r="N26" s="203">
        <f t="shared" si="4"/>
        <v>17724.884166666667</v>
      </c>
      <c r="O26" s="36">
        <v>0</v>
      </c>
      <c r="P26" s="204">
        <v>0</v>
      </c>
      <c r="Q26" s="203">
        <f t="shared" si="6"/>
        <v>17724.884166666667</v>
      </c>
      <c r="R26" s="31" t="s">
        <v>104</v>
      </c>
      <c r="S26" s="31">
        <v>12</v>
      </c>
      <c r="T26" s="32">
        <f t="shared" si="0"/>
        <v>17724.884166666667</v>
      </c>
      <c r="U26" s="33">
        <v>9</v>
      </c>
      <c r="V26" s="34">
        <f t="shared" si="7"/>
        <v>23633.178888888888</v>
      </c>
      <c r="W26" s="177"/>
      <c r="X26" s="35">
        <v>0</v>
      </c>
      <c r="Y26" s="203">
        <f t="shared" si="8"/>
        <v>212698.61</v>
      </c>
      <c r="Z26" s="177">
        <f t="shared" si="9"/>
        <v>89807</v>
      </c>
      <c r="AA26" s="205">
        <v>12</v>
      </c>
      <c r="AB26" s="38">
        <v>12</v>
      </c>
      <c r="AC26" s="39" t="s">
        <v>106</v>
      </c>
      <c r="AD26" s="206">
        <v>46175</v>
      </c>
      <c r="AE26" s="206">
        <v>46196</v>
      </c>
      <c r="AF26">
        <v>0</v>
      </c>
      <c r="AG26" s="177" t="s">
        <v>107</v>
      </c>
    </row>
    <row r="27" spans="1:64" x14ac:dyDescent="0.25">
      <c r="A27" s="1">
        <v>996526</v>
      </c>
      <c r="B27" s="47" t="s">
        <v>153</v>
      </c>
      <c r="C27" s="48" t="s">
        <v>154</v>
      </c>
      <c r="D27" s="48" t="s">
        <v>155</v>
      </c>
      <c r="E27" s="60">
        <v>93229.46</v>
      </c>
      <c r="F27" s="166">
        <v>0.17</v>
      </c>
      <c r="G27" s="57">
        <v>77380.45</v>
      </c>
      <c r="H27" s="198" t="s">
        <v>135</v>
      </c>
      <c r="I27" s="199">
        <v>0.05</v>
      </c>
      <c r="J27" s="200">
        <v>0.15</v>
      </c>
      <c r="K27" s="201" t="s">
        <v>104</v>
      </c>
      <c r="L27" s="201">
        <v>12</v>
      </c>
      <c r="M27" s="202" t="s">
        <v>105</v>
      </c>
      <c r="N27" s="203">
        <f t="shared" si="4"/>
        <v>6448.3708333333334</v>
      </c>
      <c r="O27" s="36">
        <v>0</v>
      </c>
      <c r="P27" s="204">
        <v>0</v>
      </c>
      <c r="Q27" s="203">
        <f t="shared" si="6"/>
        <v>6448.3708333333334</v>
      </c>
      <c r="R27" s="31" t="s">
        <v>104</v>
      </c>
      <c r="S27" s="31">
        <v>12</v>
      </c>
      <c r="T27" s="32">
        <f t="shared" si="0"/>
        <v>6448.3708333333334</v>
      </c>
      <c r="U27" s="33">
        <v>9</v>
      </c>
      <c r="V27" s="34">
        <f t="shared" si="7"/>
        <v>8597.8277777777766</v>
      </c>
      <c r="W27" s="177"/>
      <c r="X27" s="35">
        <v>0</v>
      </c>
      <c r="Y27" s="203">
        <f t="shared" si="8"/>
        <v>77380.45</v>
      </c>
      <c r="Z27" s="177">
        <f t="shared" si="9"/>
        <v>996526</v>
      </c>
      <c r="AA27" s="205">
        <v>12</v>
      </c>
      <c r="AB27" s="38">
        <v>12</v>
      </c>
      <c r="AC27" s="39" t="s">
        <v>106</v>
      </c>
      <c r="AD27" s="206">
        <v>46175</v>
      </c>
      <c r="AE27" s="206">
        <v>46196</v>
      </c>
      <c r="AF27">
        <v>0</v>
      </c>
      <c r="AG27" s="177" t="s">
        <v>107</v>
      </c>
    </row>
    <row r="28" spans="1:64" ht="13.5" customHeight="1" x14ac:dyDescent="0.25">
      <c r="A28" s="51">
        <v>997700</v>
      </c>
      <c r="B28" s="52" t="s">
        <v>156</v>
      </c>
      <c r="C28" s="53" t="s">
        <v>157</v>
      </c>
      <c r="D28" s="53" t="s">
        <v>158</v>
      </c>
      <c r="E28" s="59">
        <v>294720.87</v>
      </c>
      <c r="F28" s="165">
        <v>0.17</v>
      </c>
      <c r="G28" s="57">
        <v>244618.32</v>
      </c>
      <c r="H28" s="198" t="s">
        <v>135</v>
      </c>
      <c r="I28" s="199">
        <v>0.05</v>
      </c>
      <c r="J28" s="200">
        <v>0.15</v>
      </c>
      <c r="K28" s="201" t="s">
        <v>104</v>
      </c>
      <c r="L28" s="201">
        <v>12</v>
      </c>
      <c r="M28" s="202" t="s">
        <v>105</v>
      </c>
      <c r="N28" s="203">
        <f t="shared" si="4"/>
        <v>20384.86</v>
      </c>
      <c r="O28" s="36">
        <v>0</v>
      </c>
      <c r="P28" s="204">
        <v>0</v>
      </c>
      <c r="Q28" s="203">
        <f t="shared" si="6"/>
        <v>20384.86</v>
      </c>
      <c r="R28" s="31" t="s">
        <v>104</v>
      </c>
      <c r="S28" s="31">
        <v>12</v>
      </c>
      <c r="T28" s="32">
        <f t="shared" si="0"/>
        <v>20384.86</v>
      </c>
      <c r="U28" s="33">
        <v>9</v>
      </c>
      <c r="V28" s="34">
        <f t="shared" si="7"/>
        <v>27179.813333333335</v>
      </c>
      <c r="W28" s="177"/>
      <c r="X28" s="35">
        <v>0</v>
      </c>
      <c r="Y28" s="203">
        <f t="shared" si="8"/>
        <v>244618.32</v>
      </c>
      <c r="Z28" s="177">
        <f t="shared" si="9"/>
        <v>997700</v>
      </c>
      <c r="AA28" s="205">
        <v>12</v>
      </c>
      <c r="AB28" s="38">
        <v>12</v>
      </c>
      <c r="AC28" s="39" t="s">
        <v>106</v>
      </c>
      <c r="AD28" s="206">
        <v>46175</v>
      </c>
      <c r="AE28" s="206">
        <v>46196</v>
      </c>
      <c r="AF28">
        <v>0</v>
      </c>
      <c r="AG28" s="177" t="s">
        <v>107</v>
      </c>
    </row>
    <row r="29" spans="1:64" x14ac:dyDescent="0.25">
      <c r="A29" s="1">
        <v>97530</v>
      </c>
      <c r="B29" s="2" t="s">
        <v>159</v>
      </c>
      <c r="C29" s="3" t="s">
        <v>160</v>
      </c>
      <c r="D29" s="3" t="s">
        <v>161</v>
      </c>
      <c r="E29" s="58">
        <v>493009.63</v>
      </c>
      <c r="F29" s="167">
        <v>0.17</v>
      </c>
      <c r="G29" s="55">
        <v>409197.99</v>
      </c>
      <c r="H29" s="198" t="s">
        <v>135</v>
      </c>
      <c r="I29" s="199">
        <v>0.05</v>
      </c>
      <c r="J29" s="200">
        <v>0.15</v>
      </c>
      <c r="K29" s="201" t="s">
        <v>104</v>
      </c>
      <c r="L29" s="201">
        <v>12</v>
      </c>
      <c r="M29" s="202" t="s">
        <v>105</v>
      </c>
      <c r="N29" s="203">
        <f t="shared" si="4"/>
        <v>34099.832499999997</v>
      </c>
      <c r="O29" s="36">
        <v>0</v>
      </c>
      <c r="P29" s="204">
        <v>0</v>
      </c>
      <c r="Q29" s="203">
        <f t="shared" si="6"/>
        <v>34099.832499999997</v>
      </c>
      <c r="R29" s="31" t="s">
        <v>104</v>
      </c>
      <c r="S29" s="31">
        <v>12</v>
      </c>
      <c r="T29" s="32">
        <f t="shared" si="0"/>
        <v>34099.832499999997</v>
      </c>
      <c r="U29" s="33">
        <v>9</v>
      </c>
      <c r="V29" s="34">
        <f t="shared" si="7"/>
        <v>45466.443333333329</v>
      </c>
      <c r="W29" s="177"/>
      <c r="X29" s="35">
        <v>0</v>
      </c>
      <c r="Y29" s="203">
        <f t="shared" si="8"/>
        <v>409197.99</v>
      </c>
      <c r="Z29" s="177">
        <f t="shared" si="9"/>
        <v>97530</v>
      </c>
      <c r="AA29" s="205">
        <v>12</v>
      </c>
      <c r="AB29" s="38">
        <v>12</v>
      </c>
      <c r="AC29" s="39" t="s">
        <v>106</v>
      </c>
      <c r="AD29" s="206">
        <v>46175</v>
      </c>
      <c r="AE29" s="206">
        <v>46196</v>
      </c>
      <c r="AF29">
        <v>0</v>
      </c>
      <c r="AG29" s="177" t="s">
        <v>107</v>
      </c>
    </row>
    <row r="30" spans="1:64" x14ac:dyDescent="0.25">
      <c r="A30" s="1">
        <v>999516</v>
      </c>
      <c r="B30" s="2" t="s">
        <v>162</v>
      </c>
      <c r="C30" s="3" t="s">
        <v>160</v>
      </c>
      <c r="D30" s="3" t="s">
        <v>163</v>
      </c>
      <c r="E30" s="58">
        <v>383169</v>
      </c>
      <c r="F30" s="46" t="s">
        <v>164</v>
      </c>
      <c r="G30" s="55">
        <v>289369</v>
      </c>
      <c r="H30" s="198" t="s">
        <v>165</v>
      </c>
      <c r="I30" s="199">
        <v>0.05</v>
      </c>
      <c r="J30" s="200">
        <v>0.08</v>
      </c>
      <c r="K30" s="201" t="s">
        <v>104</v>
      </c>
      <c r="L30" s="201">
        <v>6</v>
      </c>
      <c r="M30" s="202" t="s">
        <v>166</v>
      </c>
      <c r="N30" s="203">
        <v>48228.2</v>
      </c>
      <c r="O30" s="36">
        <v>0</v>
      </c>
      <c r="P30" s="204">
        <v>0</v>
      </c>
      <c r="Q30" s="203">
        <v>289369</v>
      </c>
      <c r="R30" s="31" t="s">
        <v>104</v>
      </c>
      <c r="S30" s="31">
        <v>6</v>
      </c>
      <c r="T30" s="32">
        <v>48228.166666666664</v>
      </c>
      <c r="U30" s="33">
        <v>3</v>
      </c>
      <c r="V30" s="34">
        <v>96456.333333333328</v>
      </c>
      <c r="W30" s="177"/>
      <c r="X30" s="35">
        <v>0</v>
      </c>
      <c r="Y30" s="203">
        <v>289369</v>
      </c>
      <c r="Z30" s="177">
        <v>999516</v>
      </c>
      <c r="AA30" s="205">
        <v>6</v>
      </c>
      <c r="AB30" s="38">
        <v>6</v>
      </c>
      <c r="AC30" s="39" t="s">
        <v>167</v>
      </c>
      <c r="AD30" s="206">
        <v>46186</v>
      </c>
      <c r="AE30" s="206">
        <v>46570</v>
      </c>
      <c r="AF30">
        <v>35</v>
      </c>
      <c r="AG30" t="s">
        <v>168</v>
      </c>
    </row>
    <row r="31" spans="1:64" x14ac:dyDescent="0.25">
      <c r="A31" s="198">
        <v>1000766</v>
      </c>
      <c r="B31" s="2" t="s">
        <v>169</v>
      </c>
      <c r="C31" s="201" t="s">
        <v>170</v>
      </c>
      <c r="D31" s="201" t="s">
        <v>163</v>
      </c>
      <c r="E31" s="58">
        <v>396449</v>
      </c>
      <c r="F31" s="210" t="s">
        <v>171</v>
      </c>
      <c r="G31" s="55">
        <v>299349</v>
      </c>
      <c r="H31" s="198" t="s">
        <v>165</v>
      </c>
      <c r="I31" s="199">
        <v>0.05</v>
      </c>
      <c r="J31" s="200">
        <v>0.08</v>
      </c>
      <c r="K31" s="201" t="s">
        <v>104</v>
      </c>
      <c r="L31" s="201">
        <v>6</v>
      </c>
      <c r="M31" s="202" t="s">
        <v>166</v>
      </c>
      <c r="N31" s="203">
        <v>49891.5</v>
      </c>
      <c r="O31" s="36">
        <v>0</v>
      </c>
      <c r="P31" s="204">
        <v>0</v>
      </c>
      <c r="Q31" s="203">
        <v>299349</v>
      </c>
      <c r="R31" s="31" t="s">
        <v>104</v>
      </c>
      <c r="S31" s="31">
        <v>6</v>
      </c>
      <c r="T31" s="32">
        <v>49891.5</v>
      </c>
      <c r="U31" s="33">
        <v>3</v>
      </c>
      <c r="V31" s="34">
        <v>99783</v>
      </c>
      <c r="W31" s="177"/>
      <c r="X31" s="35">
        <v>0</v>
      </c>
      <c r="Y31" s="203">
        <v>299349</v>
      </c>
      <c r="Z31" s="177">
        <v>1000766</v>
      </c>
      <c r="AA31" s="205">
        <v>6</v>
      </c>
      <c r="AB31" s="38">
        <v>6</v>
      </c>
      <c r="AC31" s="39" t="s">
        <v>167</v>
      </c>
      <c r="AD31" s="206">
        <v>46186</v>
      </c>
      <c r="AE31" s="206">
        <v>46570</v>
      </c>
      <c r="AF31">
        <v>12</v>
      </c>
      <c r="AG31" t="s">
        <v>168</v>
      </c>
    </row>
    <row r="32" spans="1:64" x14ac:dyDescent="0.25">
      <c r="A32" s="51">
        <v>1000853</v>
      </c>
      <c r="B32" s="52" t="s">
        <v>172</v>
      </c>
      <c r="C32" s="53" t="s">
        <v>173</v>
      </c>
      <c r="D32" s="53" t="s">
        <v>174</v>
      </c>
      <c r="E32" s="59">
        <v>495749</v>
      </c>
      <c r="F32" s="54" t="s">
        <v>175</v>
      </c>
      <c r="G32" s="55">
        <v>374349</v>
      </c>
      <c r="H32" s="198" t="s">
        <v>165</v>
      </c>
      <c r="I32" s="199">
        <v>0.05</v>
      </c>
      <c r="J32" s="200">
        <v>0.08</v>
      </c>
      <c r="K32" s="201" t="s">
        <v>104</v>
      </c>
      <c r="L32" s="201">
        <v>6</v>
      </c>
      <c r="M32" s="202" t="s">
        <v>166</v>
      </c>
      <c r="N32" s="203">
        <v>62391.5</v>
      </c>
      <c r="O32" s="36">
        <v>0</v>
      </c>
      <c r="P32" s="204">
        <v>0</v>
      </c>
      <c r="Q32" s="203">
        <v>374349</v>
      </c>
      <c r="R32" s="31" t="s">
        <v>104</v>
      </c>
      <c r="S32" s="31">
        <v>6</v>
      </c>
      <c r="T32" s="32">
        <v>62391.5</v>
      </c>
      <c r="U32" s="33">
        <v>3</v>
      </c>
      <c r="V32" s="34">
        <v>124783</v>
      </c>
      <c r="W32" s="177"/>
      <c r="X32" s="35">
        <v>0</v>
      </c>
      <c r="Y32" s="203">
        <v>374349</v>
      </c>
      <c r="Z32" s="177">
        <v>1000853</v>
      </c>
      <c r="AA32" s="205">
        <v>6</v>
      </c>
      <c r="AB32" s="38">
        <v>6</v>
      </c>
      <c r="AC32" s="39" t="s">
        <v>167</v>
      </c>
      <c r="AD32" s="206">
        <v>46186</v>
      </c>
      <c r="AE32" s="206">
        <v>46570</v>
      </c>
      <c r="AF32">
        <v>12</v>
      </c>
      <c r="AG32" t="s">
        <v>168</v>
      </c>
    </row>
    <row r="33" spans="1:33" x14ac:dyDescent="0.25">
      <c r="A33" s="51">
        <v>1002556</v>
      </c>
      <c r="B33" s="52" t="s">
        <v>176</v>
      </c>
      <c r="C33" s="53" t="s">
        <v>170</v>
      </c>
      <c r="D33" s="53" t="s">
        <v>163</v>
      </c>
      <c r="E33" s="59">
        <v>462439</v>
      </c>
      <c r="F33" s="54" t="s">
        <v>177</v>
      </c>
      <c r="G33" s="55">
        <v>349239</v>
      </c>
      <c r="H33" s="198" t="s">
        <v>165</v>
      </c>
      <c r="I33" s="199">
        <v>0.05</v>
      </c>
      <c r="J33" s="200">
        <v>0.08</v>
      </c>
      <c r="K33" s="201" t="s">
        <v>104</v>
      </c>
      <c r="L33" s="3">
        <v>6</v>
      </c>
      <c r="M33" s="4" t="s">
        <v>166</v>
      </c>
      <c r="N33" s="203">
        <v>58206.5</v>
      </c>
      <c r="O33" s="36">
        <v>0</v>
      </c>
      <c r="P33" s="63">
        <v>0</v>
      </c>
      <c r="Q33" s="36">
        <v>349239</v>
      </c>
      <c r="R33" s="31" t="s">
        <v>104</v>
      </c>
      <c r="S33" s="31">
        <v>6</v>
      </c>
      <c r="T33" s="32">
        <v>58206.5</v>
      </c>
      <c r="U33" s="33">
        <v>3</v>
      </c>
      <c r="V33" s="34">
        <v>116413</v>
      </c>
      <c r="X33" s="35">
        <v>0</v>
      </c>
      <c r="Y33" s="36">
        <v>349239</v>
      </c>
      <c r="Z33">
        <v>1002556</v>
      </c>
      <c r="AA33" s="37">
        <v>6</v>
      </c>
      <c r="AB33" s="38">
        <v>6</v>
      </c>
      <c r="AC33" s="39" t="s">
        <v>167</v>
      </c>
      <c r="AD33" s="206">
        <v>46186</v>
      </c>
      <c r="AE33" s="206">
        <v>46570</v>
      </c>
      <c r="AF33">
        <v>11</v>
      </c>
      <c r="AG33" t="s">
        <v>168</v>
      </c>
    </row>
    <row r="34" spans="1:33" x14ac:dyDescent="0.25">
      <c r="A34" s="51">
        <v>1002968</v>
      </c>
      <c r="B34" s="52" t="s">
        <v>178</v>
      </c>
      <c r="C34" s="53" t="s">
        <v>173</v>
      </c>
      <c r="D34" s="53" t="s">
        <v>163</v>
      </c>
      <c r="E34" s="59">
        <v>991499</v>
      </c>
      <c r="F34" s="54" t="s">
        <v>179</v>
      </c>
      <c r="G34" s="55">
        <v>748699</v>
      </c>
      <c r="H34" s="198" t="s">
        <v>165</v>
      </c>
      <c r="I34" s="199">
        <v>0.05</v>
      </c>
      <c r="J34" s="200">
        <v>0.08</v>
      </c>
      <c r="K34" s="201" t="s">
        <v>104</v>
      </c>
      <c r="L34" s="3">
        <v>6</v>
      </c>
      <c r="M34" s="4" t="s">
        <v>166</v>
      </c>
      <c r="N34" s="203">
        <v>124783.2</v>
      </c>
      <c r="O34" s="36">
        <v>0</v>
      </c>
      <c r="P34" s="63">
        <v>0</v>
      </c>
      <c r="Q34" s="36">
        <v>748699</v>
      </c>
      <c r="R34" s="31" t="s">
        <v>104</v>
      </c>
      <c r="S34" s="31">
        <v>6</v>
      </c>
      <c r="T34" s="32">
        <v>124783.16666666667</v>
      </c>
      <c r="U34" s="33">
        <v>3</v>
      </c>
      <c r="V34" s="34">
        <v>249566.33333333334</v>
      </c>
      <c r="X34" s="35">
        <v>0</v>
      </c>
      <c r="Y34" s="36">
        <v>748699</v>
      </c>
      <c r="Z34">
        <v>1002968</v>
      </c>
      <c r="AA34" s="37">
        <v>6</v>
      </c>
      <c r="AB34" s="38">
        <v>6</v>
      </c>
      <c r="AC34" s="39" t="s">
        <v>167</v>
      </c>
      <c r="AD34" s="206">
        <v>46186</v>
      </c>
      <c r="AE34" s="206">
        <v>46570</v>
      </c>
      <c r="AF34">
        <v>12</v>
      </c>
      <c r="AG34" t="s">
        <v>168</v>
      </c>
    </row>
    <row r="35" spans="1:33" x14ac:dyDescent="0.25">
      <c r="A35" s="51">
        <v>1003291</v>
      </c>
      <c r="B35" s="52" t="s">
        <v>180</v>
      </c>
      <c r="C35" s="53" t="s">
        <v>170</v>
      </c>
      <c r="D35" s="53" t="s">
        <v>163</v>
      </c>
      <c r="E35" s="59">
        <v>792789</v>
      </c>
      <c r="F35" s="54" t="s">
        <v>181</v>
      </c>
      <c r="G35" s="55">
        <v>598689</v>
      </c>
      <c r="H35" s="198" t="s">
        <v>165</v>
      </c>
      <c r="I35" s="199">
        <v>0.05</v>
      </c>
      <c r="J35" s="200">
        <v>0.08</v>
      </c>
      <c r="K35" s="201" t="s">
        <v>104</v>
      </c>
      <c r="L35" s="3">
        <v>6</v>
      </c>
      <c r="M35" s="4" t="s">
        <v>166</v>
      </c>
      <c r="N35" s="203">
        <v>99781.5</v>
      </c>
      <c r="O35" s="36">
        <v>0</v>
      </c>
      <c r="P35" s="63">
        <v>0</v>
      </c>
      <c r="Q35" s="36">
        <v>598689</v>
      </c>
      <c r="R35" s="31" t="s">
        <v>104</v>
      </c>
      <c r="S35" s="31">
        <v>6</v>
      </c>
      <c r="T35" s="32">
        <v>99781.5</v>
      </c>
      <c r="U35" s="33">
        <v>3</v>
      </c>
      <c r="V35" s="34">
        <v>199563</v>
      </c>
      <c r="X35" s="35">
        <v>0</v>
      </c>
      <c r="Y35" s="36">
        <v>598689</v>
      </c>
      <c r="Z35">
        <v>1003291</v>
      </c>
      <c r="AA35" s="37">
        <v>6</v>
      </c>
      <c r="AB35" s="38">
        <v>6</v>
      </c>
      <c r="AC35" s="39" t="s">
        <v>167</v>
      </c>
      <c r="AD35" s="206">
        <v>46186</v>
      </c>
      <c r="AE35" s="206">
        <v>46570</v>
      </c>
      <c r="AF35">
        <v>18</v>
      </c>
      <c r="AG35" t="s">
        <v>168</v>
      </c>
    </row>
    <row r="36" spans="1:33" x14ac:dyDescent="0.25">
      <c r="A36" s="51">
        <v>94651</v>
      </c>
      <c r="B36" s="52" t="s">
        <v>182</v>
      </c>
      <c r="C36" s="53" t="s">
        <v>183</v>
      </c>
      <c r="D36" s="53" t="s">
        <v>184</v>
      </c>
      <c r="E36" s="59">
        <v>142649</v>
      </c>
      <c r="F36" s="54" t="s">
        <v>185</v>
      </c>
      <c r="G36" s="55">
        <v>109149</v>
      </c>
      <c r="H36" s="198" t="s">
        <v>165</v>
      </c>
      <c r="I36" s="199">
        <v>0.05</v>
      </c>
      <c r="J36" s="200">
        <v>0.08</v>
      </c>
      <c r="K36" s="201" t="s">
        <v>104</v>
      </c>
      <c r="L36" s="3">
        <v>6</v>
      </c>
      <c r="M36" s="4" t="s">
        <v>166</v>
      </c>
      <c r="N36" s="203">
        <v>18191.5</v>
      </c>
      <c r="O36" s="36">
        <v>0</v>
      </c>
      <c r="P36" s="63">
        <v>0</v>
      </c>
      <c r="Q36" s="36">
        <v>109149</v>
      </c>
      <c r="R36" s="31" t="s">
        <v>104</v>
      </c>
      <c r="S36" s="31">
        <v>6</v>
      </c>
      <c r="T36" s="32">
        <v>18191.5</v>
      </c>
      <c r="U36" s="33">
        <v>3</v>
      </c>
      <c r="V36" s="34">
        <v>36383</v>
      </c>
      <c r="X36" s="35">
        <v>0</v>
      </c>
      <c r="Y36" s="36">
        <v>109149</v>
      </c>
      <c r="Z36">
        <v>94651</v>
      </c>
      <c r="AA36" s="37">
        <v>6</v>
      </c>
      <c r="AB36" s="38">
        <v>6</v>
      </c>
      <c r="AC36" s="39" t="s">
        <v>167</v>
      </c>
      <c r="AD36" s="206">
        <v>46186</v>
      </c>
      <c r="AE36" s="206">
        <v>46570</v>
      </c>
      <c r="AF36">
        <v>30</v>
      </c>
      <c r="AG36" t="s">
        <v>168</v>
      </c>
    </row>
    <row r="37" spans="1:33" x14ac:dyDescent="0.25">
      <c r="A37" s="51">
        <v>95162</v>
      </c>
      <c r="B37" s="52" t="s">
        <v>186</v>
      </c>
      <c r="C37" s="53" t="s">
        <v>187</v>
      </c>
      <c r="D37" s="53" t="s">
        <v>174</v>
      </c>
      <c r="E37" s="59">
        <v>156469</v>
      </c>
      <c r="F37" s="54" t="s">
        <v>188</v>
      </c>
      <c r="G37" s="55">
        <v>119669</v>
      </c>
      <c r="H37" s="198" t="s">
        <v>165</v>
      </c>
      <c r="I37" s="199">
        <v>0.05</v>
      </c>
      <c r="J37" s="200">
        <v>0.08</v>
      </c>
      <c r="K37" s="201" t="s">
        <v>104</v>
      </c>
      <c r="L37" s="3">
        <v>6</v>
      </c>
      <c r="M37" s="4" t="s">
        <v>166</v>
      </c>
      <c r="N37" s="203">
        <v>19944.8</v>
      </c>
      <c r="O37" s="36">
        <v>0</v>
      </c>
      <c r="P37" s="63">
        <v>0</v>
      </c>
      <c r="Q37" s="36">
        <v>119669</v>
      </c>
      <c r="R37" s="31" t="s">
        <v>104</v>
      </c>
      <c r="S37" s="31">
        <v>6</v>
      </c>
      <c r="T37" s="32">
        <v>19944.833333333332</v>
      </c>
      <c r="U37" s="33">
        <v>3</v>
      </c>
      <c r="V37" s="34">
        <v>39889.666666666664</v>
      </c>
      <c r="X37" s="35">
        <v>0</v>
      </c>
      <c r="Y37" s="36">
        <v>119669</v>
      </c>
      <c r="Z37">
        <v>95162</v>
      </c>
      <c r="AA37" s="37">
        <v>6</v>
      </c>
      <c r="AB37" s="38">
        <v>6</v>
      </c>
      <c r="AC37" s="39" t="s">
        <v>167</v>
      </c>
      <c r="AD37" s="206">
        <v>46186</v>
      </c>
      <c r="AE37" s="206">
        <v>46570</v>
      </c>
      <c r="AF37">
        <v>30</v>
      </c>
      <c r="AG37" t="s">
        <v>168</v>
      </c>
    </row>
    <row r="38" spans="1:33" x14ac:dyDescent="0.25">
      <c r="A38" s="51">
        <v>95165</v>
      </c>
      <c r="B38" s="52" t="s">
        <v>189</v>
      </c>
      <c r="C38" s="53" t="s">
        <v>187</v>
      </c>
      <c r="D38" s="53" t="s">
        <v>184</v>
      </c>
      <c r="E38" s="59">
        <v>97019</v>
      </c>
      <c r="F38" s="54" t="s">
        <v>190</v>
      </c>
      <c r="G38" s="55">
        <v>80819</v>
      </c>
      <c r="H38" s="198" t="s">
        <v>165</v>
      </c>
      <c r="I38" s="199">
        <v>0.05</v>
      </c>
      <c r="J38" s="62">
        <v>0.15</v>
      </c>
      <c r="K38" s="201" t="s">
        <v>104</v>
      </c>
      <c r="L38" s="3">
        <v>12</v>
      </c>
      <c r="M38" s="4" t="s">
        <v>191</v>
      </c>
      <c r="N38" s="203">
        <v>6734.9</v>
      </c>
      <c r="O38" s="36">
        <v>0</v>
      </c>
      <c r="P38" s="63">
        <v>0</v>
      </c>
      <c r="Q38" s="36">
        <v>80819</v>
      </c>
      <c r="R38" s="31" t="s">
        <v>104</v>
      </c>
      <c r="S38" s="31">
        <v>12</v>
      </c>
      <c r="T38" s="32">
        <v>6734.916666666667</v>
      </c>
      <c r="U38" s="33">
        <v>6</v>
      </c>
      <c r="V38" s="34">
        <v>13469.833333333334</v>
      </c>
      <c r="X38" s="35">
        <v>0</v>
      </c>
      <c r="Y38" s="36">
        <v>80819</v>
      </c>
      <c r="Z38">
        <v>95165</v>
      </c>
      <c r="AA38" s="37">
        <v>12</v>
      </c>
      <c r="AB38" s="38">
        <v>12</v>
      </c>
      <c r="AC38" s="39" t="s">
        <v>192</v>
      </c>
      <c r="AD38" s="206">
        <v>46186</v>
      </c>
      <c r="AE38" s="206">
        <v>46570</v>
      </c>
      <c r="AF38">
        <v>16</v>
      </c>
      <c r="AG38" t="s">
        <v>193</v>
      </c>
    </row>
    <row r="39" spans="1:33" x14ac:dyDescent="0.25">
      <c r="A39" s="51">
        <v>95168</v>
      </c>
      <c r="B39" s="52" t="s">
        <v>194</v>
      </c>
      <c r="C39" s="53" t="s">
        <v>187</v>
      </c>
      <c r="D39" s="53" t="s">
        <v>184</v>
      </c>
      <c r="E39" s="59">
        <v>122299</v>
      </c>
      <c r="F39" s="54" t="s">
        <v>195</v>
      </c>
      <c r="G39" s="55">
        <v>93599</v>
      </c>
      <c r="H39" s="1" t="s">
        <v>165</v>
      </c>
      <c r="I39" s="199">
        <v>0.05</v>
      </c>
      <c r="J39" s="62">
        <v>0.08</v>
      </c>
      <c r="K39" s="3" t="s">
        <v>104</v>
      </c>
      <c r="L39" s="3">
        <v>6</v>
      </c>
      <c r="M39" s="4" t="s">
        <v>166</v>
      </c>
      <c r="N39" s="203">
        <v>15599.8</v>
      </c>
      <c r="O39" s="36">
        <v>0</v>
      </c>
      <c r="P39" s="63">
        <v>0</v>
      </c>
      <c r="Q39" s="36">
        <v>93599</v>
      </c>
      <c r="R39" s="31" t="s">
        <v>104</v>
      </c>
      <c r="S39" s="31">
        <v>6</v>
      </c>
      <c r="T39" s="32">
        <v>15599.833333333334</v>
      </c>
      <c r="U39" s="33">
        <v>3</v>
      </c>
      <c r="V39" s="34">
        <v>31199.666666666668</v>
      </c>
      <c r="X39" s="35">
        <v>0</v>
      </c>
      <c r="Y39" s="36">
        <v>93599</v>
      </c>
      <c r="Z39">
        <v>95168</v>
      </c>
      <c r="AA39" s="37">
        <v>6</v>
      </c>
      <c r="AB39" s="38">
        <v>6</v>
      </c>
      <c r="AC39" s="39" t="s">
        <v>167</v>
      </c>
      <c r="AD39" s="206">
        <v>46186</v>
      </c>
      <c r="AE39" s="206">
        <v>46570</v>
      </c>
      <c r="AF39">
        <v>14</v>
      </c>
      <c r="AG39" t="s">
        <v>168</v>
      </c>
    </row>
    <row r="40" spans="1:33" x14ac:dyDescent="0.25">
      <c r="A40" s="51">
        <v>95171</v>
      </c>
      <c r="B40" s="52" t="s">
        <v>196</v>
      </c>
      <c r="C40" s="53" t="s">
        <v>187</v>
      </c>
      <c r="D40" s="53" t="s">
        <v>184</v>
      </c>
      <c r="E40" s="59">
        <v>129359</v>
      </c>
      <c r="F40" s="54" t="s">
        <v>197</v>
      </c>
      <c r="G40" s="55">
        <v>107759</v>
      </c>
      <c r="H40" s="1" t="s">
        <v>165</v>
      </c>
      <c r="I40" s="199">
        <v>0.05</v>
      </c>
      <c r="J40" s="62">
        <v>0.15</v>
      </c>
      <c r="K40" s="3" t="s">
        <v>104</v>
      </c>
      <c r="L40" s="3">
        <v>12</v>
      </c>
      <c r="M40" s="4" t="s">
        <v>191</v>
      </c>
      <c r="N40" s="203">
        <v>8979.9</v>
      </c>
      <c r="O40" s="36">
        <v>0</v>
      </c>
      <c r="P40" s="63">
        <v>0</v>
      </c>
      <c r="Q40" s="36">
        <v>107759</v>
      </c>
      <c r="R40" s="31" t="s">
        <v>104</v>
      </c>
      <c r="S40" s="31">
        <v>12</v>
      </c>
      <c r="T40" s="32">
        <v>8979.9166666666661</v>
      </c>
      <c r="U40" s="33">
        <v>6</v>
      </c>
      <c r="V40" s="34">
        <v>17959.833333333332</v>
      </c>
      <c r="X40" s="35">
        <v>0</v>
      </c>
      <c r="Y40" s="36">
        <v>107759</v>
      </c>
      <c r="Z40">
        <v>95171</v>
      </c>
      <c r="AA40" s="37">
        <v>12</v>
      </c>
      <c r="AB40" s="38">
        <v>12</v>
      </c>
      <c r="AC40" s="39" t="s">
        <v>192</v>
      </c>
      <c r="AD40" s="206">
        <v>46186</v>
      </c>
      <c r="AE40" s="206">
        <v>46570</v>
      </c>
      <c r="AF40">
        <v>12</v>
      </c>
      <c r="AG40" t="s">
        <v>193</v>
      </c>
    </row>
    <row r="41" spans="1:33" x14ac:dyDescent="0.25">
      <c r="A41" s="51">
        <v>96063</v>
      </c>
      <c r="B41" s="52" t="s">
        <v>198</v>
      </c>
      <c r="C41" s="53" t="s">
        <v>187</v>
      </c>
      <c r="D41" s="53" t="s">
        <v>184</v>
      </c>
      <c r="E41" s="59">
        <v>153629</v>
      </c>
      <c r="F41" s="54" t="s">
        <v>199</v>
      </c>
      <c r="G41" s="55">
        <v>117529</v>
      </c>
      <c r="H41" s="1" t="s">
        <v>165</v>
      </c>
      <c r="I41" s="199">
        <v>0.05</v>
      </c>
      <c r="J41" s="62">
        <v>0.08</v>
      </c>
      <c r="K41" s="3" t="s">
        <v>104</v>
      </c>
      <c r="L41" s="3">
        <v>6</v>
      </c>
      <c r="M41" s="4" t="s">
        <v>166</v>
      </c>
      <c r="N41" s="203">
        <v>19588.2</v>
      </c>
      <c r="O41" s="36">
        <v>0</v>
      </c>
      <c r="P41" s="63">
        <v>0</v>
      </c>
      <c r="Q41" s="36">
        <v>117529</v>
      </c>
      <c r="R41" s="31" t="s">
        <v>104</v>
      </c>
      <c r="S41" s="31">
        <v>6</v>
      </c>
      <c r="T41" s="32">
        <v>19588.166666666668</v>
      </c>
      <c r="U41" s="33">
        <v>3</v>
      </c>
      <c r="V41" s="34">
        <v>39176.333333333336</v>
      </c>
      <c r="X41" s="35">
        <v>0</v>
      </c>
      <c r="Y41" s="36">
        <v>117529</v>
      </c>
      <c r="Z41">
        <v>96063</v>
      </c>
      <c r="AA41" s="37">
        <v>6</v>
      </c>
      <c r="AB41" s="38">
        <v>6</v>
      </c>
      <c r="AC41" s="39" t="s">
        <v>167</v>
      </c>
      <c r="AD41" s="206">
        <v>46186</v>
      </c>
      <c r="AE41" s="206">
        <v>46570</v>
      </c>
      <c r="AF41">
        <v>14</v>
      </c>
      <c r="AG41" t="s">
        <v>168</v>
      </c>
    </row>
    <row r="42" spans="1:33" x14ac:dyDescent="0.25">
      <c r="A42" s="51">
        <v>997119</v>
      </c>
      <c r="B42" s="52" t="s">
        <v>200</v>
      </c>
      <c r="C42" s="53" t="s">
        <v>187</v>
      </c>
      <c r="D42" s="53" t="s">
        <v>184</v>
      </c>
      <c r="E42" s="59">
        <v>137599</v>
      </c>
      <c r="F42" s="54" t="s">
        <v>201</v>
      </c>
      <c r="G42" s="55">
        <v>105299</v>
      </c>
      <c r="H42" s="1" t="s">
        <v>165</v>
      </c>
      <c r="I42" s="199">
        <v>0.05</v>
      </c>
      <c r="J42" s="62">
        <v>0.08</v>
      </c>
      <c r="K42" s="3" t="s">
        <v>104</v>
      </c>
      <c r="L42" s="3">
        <v>6</v>
      </c>
      <c r="M42" s="4" t="s">
        <v>166</v>
      </c>
      <c r="N42" s="203">
        <v>17549.8</v>
      </c>
      <c r="O42" s="36">
        <v>0</v>
      </c>
      <c r="P42" s="63">
        <v>0</v>
      </c>
      <c r="Q42" s="36">
        <v>105299</v>
      </c>
      <c r="R42" s="31" t="s">
        <v>104</v>
      </c>
      <c r="S42" s="31">
        <v>6</v>
      </c>
      <c r="T42" s="32">
        <v>17549.833333333332</v>
      </c>
      <c r="U42" s="33">
        <v>3</v>
      </c>
      <c r="V42" s="34">
        <v>35099.666666666664</v>
      </c>
      <c r="X42" s="35">
        <v>0</v>
      </c>
      <c r="Y42" s="36">
        <v>105299</v>
      </c>
      <c r="Z42">
        <v>997119</v>
      </c>
      <c r="AA42" s="37">
        <v>6</v>
      </c>
      <c r="AB42" s="38">
        <v>6</v>
      </c>
      <c r="AC42" s="39" t="s">
        <v>167</v>
      </c>
      <c r="AD42" s="206">
        <v>46186</v>
      </c>
      <c r="AE42" s="206">
        <v>46570</v>
      </c>
      <c r="AF42">
        <v>14</v>
      </c>
      <c r="AG42" t="s">
        <v>168</v>
      </c>
    </row>
    <row r="43" spans="1:33" x14ac:dyDescent="0.25">
      <c r="A43" s="51">
        <v>997127</v>
      </c>
      <c r="B43" s="52" t="s">
        <v>202</v>
      </c>
      <c r="C43" s="53" t="s">
        <v>187</v>
      </c>
      <c r="D43" s="53" t="s">
        <v>184</v>
      </c>
      <c r="E43" s="59">
        <v>146819</v>
      </c>
      <c r="F43" s="54" t="s">
        <v>203</v>
      </c>
      <c r="G43" s="55">
        <v>112319</v>
      </c>
      <c r="H43" s="1" t="s">
        <v>165</v>
      </c>
      <c r="I43" s="199">
        <v>0.05</v>
      </c>
      <c r="J43" s="62">
        <v>0.08</v>
      </c>
      <c r="K43" s="3" t="s">
        <v>104</v>
      </c>
      <c r="L43" s="3">
        <v>6</v>
      </c>
      <c r="M43" s="4" t="s">
        <v>166</v>
      </c>
      <c r="N43" s="203">
        <v>18719.8</v>
      </c>
      <c r="O43" s="36">
        <v>0</v>
      </c>
      <c r="P43" s="63">
        <v>0</v>
      </c>
      <c r="Q43" s="36">
        <v>112319</v>
      </c>
      <c r="R43" s="31" t="s">
        <v>104</v>
      </c>
      <c r="S43" s="31">
        <v>6</v>
      </c>
      <c r="T43" s="32">
        <v>18719.833333333332</v>
      </c>
      <c r="U43" s="33">
        <v>3</v>
      </c>
      <c r="V43" s="34">
        <v>37439.666666666664</v>
      </c>
      <c r="X43" s="35">
        <v>0</v>
      </c>
      <c r="Y43" s="36">
        <v>112319</v>
      </c>
      <c r="Z43">
        <v>997127</v>
      </c>
      <c r="AA43" s="37">
        <v>6</v>
      </c>
      <c r="AB43" s="38">
        <v>6</v>
      </c>
      <c r="AC43" s="39" t="s">
        <v>167</v>
      </c>
      <c r="AD43" s="206">
        <v>46186</v>
      </c>
      <c r="AE43" s="206">
        <v>46570</v>
      </c>
      <c r="AF43">
        <v>19</v>
      </c>
      <c r="AG43" t="s">
        <v>168</v>
      </c>
    </row>
    <row r="44" spans="1:33" x14ac:dyDescent="0.25">
      <c r="A44" s="51">
        <v>1000124</v>
      </c>
      <c r="B44" s="52" t="s">
        <v>204</v>
      </c>
      <c r="C44" s="53" t="s">
        <v>187</v>
      </c>
      <c r="D44" s="53" t="s">
        <v>184</v>
      </c>
      <c r="E44" s="59">
        <v>80849</v>
      </c>
      <c r="F44" s="54" t="s">
        <v>205</v>
      </c>
      <c r="G44" s="55">
        <v>67349</v>
      </c>
      <c r="H44" s="1" t="s">
        <v>165</v>
      </c>
      <c r="I44" s="199">
        <v>0.05</v>
      </c>
      <c r="J44" s="62">
        <v>0.15</v>
      </c>
      <c r="K44" s="3" t="s">
        <v>104</v>
      </c>
      <c r="L44" s="3">
        <v>12</v>
      </c>
      <c r="M44" s="4" t="s">
        <v>191</v>
      </c>
      <c r="N44" s="203">
        <v>5612.4</v>
      </c>
      <c r="O44" s="36">
        <v>0</v>
      </c>
      <c r="P44" s="63">
        <v>0</v>
      </c>
      <c r="Q44" s="36">
        <v>67349</v>
      </c>
      <c r="R44" s="31" t="s">
        <v>104</v>
      </c>
      <c r="S44" s="31">
        <v>12</v>
      </c>
      <c r="T44" s="32">
        <v>5612.416666666667</v>
      </c>
      <c r="U44" s="33">
        <v>6</v>
      </c>
      <c r="V44" s="34">
        <v>11224.833333333334</v>
      </c>
      <c r="X44" s="35">
        <v>0</v>
      </c>
      <c r="Y44" s="36">
        <v>67349</v>
      </c>
      <c r="Z44">
        <v>1000124</v>
      </c>
      <c r="AA44" s="37">
        <v>12</v>
      </c>
      <c r="AB44" s="38">
        <v>12</v>
      </c>
      <c r="AC44" s="39" t="s">
        <v>192</v>
      </c>
      <c r="AD44" s="206">
        <v>46186</v>
      </c>
      <c r="AE44" s="206">
        <v>46570</v>
      </c>
      <c r="AF44">
        <v>16</v>
      </c>
      <c r="AG44" t="s">
        <v>193</v>
      </c>
    </row>
    <row r="45" spans="1:33" x14ac:dyDescent="0.25">
      <c r="A45" s="51">
        <v>1000126</v>
      </c>
      <c r="B45" s="52" t="s">
        <v>206</v>
      </c>
      <c r="C45" s="53" t="s">
        <v>187</v>
      </c>
      <c r="D45" s="53" t="s">
        <v>184</v>
      </c>
      <c r="E45" s="59">
        <v>97019</v>
      </c>
      <c r="F45" s="54" t="s">
        <v>190</v>
      </c>
      <c r="G45" s="55">
        <v>80819</v>
      </c>
      <c r="H45" s="1" t="s">
        <v>165</v>
      </c>
      <c r="I45" s="199">
        <v>0.05</v>
      </c>
      <c r="J45" s="62">
        <v>0.15</v>
      </c>
      <c r="K45" s="3" t="s">
        <v>104</v>
      </c>
      <c r="L45" s="3">
        <v>12</v>
      </c>
      <c r="M45" s="4" t="s">
        <v>191</v>
      </c>
      <c r="N45" s="203">
        <v>6734.9</v>
      </c>
      <c r="O45" s="36">
        <v>0</v>
      </c>
      <c r="P45" s="63">
        <v>0</v>
      </c>
      <c r="Q45" s="36">
        <v>80819</v>
      </c>
      <c r="R45" s="31" t="s">
        <v>104</v>
      </c>
      <c r="S45" s="31">
        <v>12</v>
      </c>
      <c r="T45" s="32">
        <v>6734.916666666667</v>
      </c>
      <c r="U45" s="33">
        <v>6</v>
      </c>
      <c r="V45" s="34">
        <v>13469.833333333334</v>
      </c>
      <c r="X45" s="35">
        <v>0</v>
      </c>
      <c r="Y45" s="36">
        <v>80819</v>
      </c>
      <c r="Z45">
        <v>1000126</v>
      </c>
      <c r="AA45" s="37">
        <v>12</v>
      </c>
      <c r="AB45" s="38">
        <v>12</v>
      </c>
      <c r="AC45" s="39" t="s">
        <v>192</v>
      </c>
      <c r="AD45" s="206">
        <v>46186</v>
      </c>
      <c r="AE45" s="206">
        <v>46570</v>
      </c>
      <c r="AF45">
        <v>17</v>
      </c>
      <c r="AG45" t="s">
        <v>193</v>
      </c>
    </row>
    <row r="46" spans="1:33" x14ac:dyDescent="0.25">
      <c r="A46" s="51">
        <v>1000158</v>
      </c>
      <c r="B46" s="52" t="s">
        <v>207</v>
      </c>
      <c r="C46" s="53" t="s">
        <v>187</v>
      </c>
      <c r="D46" s="53" t="s">
        <v>184</v>
      </c>
      <c r="E46" s="59">
        <v>189679</v>
      </c>
      <c r="F46" s="54" t="s">
        <v>208</v>
      </c>
      <c r="G46" s="55">
        <v>145079</v>
      </c>
      <c r="H46" s="1" t="s">
        <v>165</v>
      </c>
      <c r="I46" s="199">
        <v>0.05</v>
      </c>
      <c r="J46" s="62">
        <v>0.08</v>
      </c>
      <c r="K46" s="3" t="s">
        <v>104</v>
      </c>
      <c r="L46" s="3">
        <v>6</v>
      </c>
      <c r="M46" s="4" t="s">
        <v>166</v>
      </c>
      <c r="N46" s="203">
        <v>24179.8</v>
      </c>
      <c r="O46" s="36">
        <v>0</v>
      </c>
      <c r="P46" s="63">
        <v>0</v>
      </c>
      <c r="Q46" s="36">
        <v>145079</v>
      </c>
      <c r="R46" s="31" t="s">
        <v>104</v>
      </c>
      <c r="S46" s="31">
        <v>6</v>
      </c>
      <c r="T46" s="32">
        <v>24179.833333333332</v>
      </c>
      <c r="U46" s="33">
        <v>3</v>
      </c>
      <c r="V46" s="34">
        <v>48359.666666666664</v>
      </c>
      <c r="X46" s="35">
        <v>0</v>
      </c>
      <c r="Y46" s="36">
        <v>145079</v>
      </c>
      <c r="Z46">
        <v>1000158</v>
      </c>
      <c r="AA46" s="37">
        <v>6</v>
      </c>
      <c r="AB46" s="38">
        <v>6</v>
      </c>
      <c r="AC46" s="39" t="s">
        <v>167</v>
      </c>
      <c r="AD46" s="206">
        <v>46186</v>
      </c>
      <c r="AE46" s="206">
        <v>46570</v>
      </c>
      <c r="AF46">
        <v>14</v>
      </c>
      <c r="AG46" t="s">
        <v>168</v>
      </c>
    </row>
    <row r="47" spans="1:33" x14ac:dyDescent="0.25">
      <c r="A47" s="51">
        <v>1000555</v>
      </c>
      <c r="B47" s="52" t="s">
        <v>209</v>
      </c>
      <c r="C47" s="53" t="s">
        <v>187</v>
      </c>
      <c r="D47" s="53" t="s">
        <v>184</v>
      </c>
      <c r="E47" s="59">
        <v>768119</v>
      </c>
      <c r="F47" s="54" t="s">
        <v>210</v>
      </c>
      <c r="G47" s="55">
        <v>587619</v>
      </c>
      <c r="H47" s="1" t="s">
        <v>165</v>
      </c>
      <c r="I47" s="199">
        <v>0.05</v>
      </c>
      <c r="J47" s="62">
        <v>0.08</v>
      </c>
      <c r="K47" s="3" t="s">
        <v>104</v>
      </c>
      <c r="L47" s="3">
        <v>6</v>
      </c>
      <c r="M47" s="4" t="s">
        <v>166</v>
      </c>
      <c r="N47" s="203">
        <v>97936.5</v>
      </c>
      <c r="O47" s="36">
        <v>0</v>
      </c>
      <c r="P47" s="63">
        <v>0</v>
      </c>
      <c r="Q47" s="36">
        <v>587619</v>
      </c>
      <c r="R47" s="31" t="s">
        <v>104</v>
      </c>
      <c r="S47" s="31">
        <v>6</v>
      </c>
      <c r="T47" s="32">
        <v>97936.5</v>
      </c>
      <c r="U47" s="33">
        <v>3</v>
      </c>
      <c r="V47" s="34">
        <v>195873</v>
      </c>
      <c r="X47" s="35">
        <v>0</v>
      </c>
      <c r="Y47" s="36">
        <v>587619</v>
      </c>
      <c r="Z47">
        <v>1000555</v>
      </c>
      <c r="AA47" s="37">
        <v>6</v>
      </c>
      <c r="AB47" s="38">
        <v>6</v>
      </c>
      <c r="AC47" s="39" t="s">
        <v>167</v>
      </c>
      <c r="AD47" s="206">
        <v>46186</v>
      </c>
      <c r="AE47" s="206">
        <v>46570</v>
      </c>
      <c r="AF47">
        <v>17</v>
      </c>
      <c r="AG47" t="s">
        <v>168</v>
      </c>
    </row>
    <row r="48" spans="1:33" x14ac:dyDescent="0.25">
      <c r="A48" s="51">
        <v>1000562</v>
      </c>
      <c r="B48" s="52" t="s">
        <v>211</v>
      </c>
      <c r="C48" s="53" t="s">
        <v>187</v>
      </c>
      <c r="D48" s="53" t="s">
        <v>184</v>
      </c>
      <c r="E48" s="59">
        <v>162419</v>
      </c>
      <c r="F48" s="54" t="s">
        <v>212</v>
      </c>
      <c r="G48" s="55">
        <v>135319</v>
      </c>
      <c r="H48" s="1" t="s">
        <v>165</v>
      </c>
      <c r="I48" s="199">
        <v>0.05</v>
      </c>
      <c r="J48" s="62">
        <v>0.15</v>
      </c>
      <c r="K48" s="3" t="s">
        <v>104</v>
      </c>
      <c r="L48" s="3">
        <v>12</v>
      </c>
      <c r="M48" s="4" t="s">
        <v>191</v>
      </c>
      <c r="N48" s="203">
        <v>11276.6</v>
      </c>
      <c r="O48" s="36">
        <v>0</v>
      </c>
      <c r="P48" s="63">
        <v>0</v>
      </c>
      <c r="Q48" s="36">
        <v>135319</v>
      </c>
      <c r="R48" s="31" t="s">
        <v>104</v>
      </c>
      <c r="S48" s="31">
        <v>12</v>
      </c>
      <c r="T48" s="32">
        <v>11276.583333333334</v>
      </c>
      <c r="U48" s="33">
        <v>6</v>
      </c>
      <c r="V48" s="34">
        <v>22553.166666666668</v>
      </c>
      <c r="X48" s="35">
        <v>0</v>
      </c>
      <c r="Y48" s="36">
        <v>135319</v>
      </c>
      <c r="Z48">
        <v>1000562</v>
      </c>
      <c r="AA48" s="37">
        <v>12</v>
      </c>
      <c r="AB48" s="38">
        <v>12</v>
      </c>
      <c r="AC48" s="39" t="s">
        <v>192</v>
      </c>
      <c r="AD48" s="206">
        <v>46186</v>
      </c>
      <c r="AE48" s="206">
        <v>46570</v>
      </c>
      <c r="AF48">
        <v>29</v>
      </c>
      <c r="AG48" t="s">
        <v>193</v>
      </c>
    </row>
    <row r="49" spans="1:33" s="76" customFormat="1" x14ac:dyDescent="0.25">
      <c r="A49" s="51">
        <v>1000607</v>
      </c>
      <c r="B49" s="65" t="s">
        <v>213</v>
      </c>
      <c r="C49" s="64" t="s">
        <v>187</v>
      </c>
      <c r="D49" s="64" t="s">
        <v>184</v>
      </c>
      <c r="E49" s="66">
        <v>293269</v>
      </c>
      <c r="F49" s="67" t="s">
        <v>214</v>
      </c>
      <c r="G49" s="68">
        <v>224369</v>
      </c>
      <c r="H49" s="69" t="s">
        <v>165</v>
      </c>
      <c r="I49" s="199">
        <v>0.05</v>
      </c>
      <c r="J49" s="70">
        <v>0.08</v>
      </c>
      <c r="K49" s="69" t="s">
        <v>104</v>
      </c>
      <c r="L49" s="69">
        <v>6</v>
      </c>
      <c r="M49" s="71" t="s">
        <v>166</v>
      </c>
      <c r="N49" s="203">
        <v>37394.800000000003</v>
      </c>
      <c r="O49" s="72">
        <v>0</v>
      </c>
      <c r="P49" s="73">
        <v>0</v>
      </c>
      <c r="Q49" s="72">
        <v>224369</v>
      </c>
      <c r="R49" s="74" t="s">
        <v>104</v>
      </c>
      <c r="S49" s="74">
        <v>6</v>
      </c>
      <c r="T49" s="75">
        <v>37394.833333333336</v>
      </c>
      <c r="U49" s="74">
        <v>3</v>
      </c>
      <c r="V49" s="75">
        <v>74789.666666666672</v>
      </c>
      <c r="X49" s="77">
        <v>0</v>
      </c>
      <c r="Y49" s="72">
        <v>224369</v>
      </c>
      <c r="Z49" s="76">
        <v>1000607</v>
      </c>
      <c r="AA49" s="78">
        <v>6</v>
      </c>
      <c r="AB49" s="79">
        <v>6</v>
      </c>
      <c r="AC49" s="80" t="s">
        <v>167</v>
      </c>
      <c r="AD49" s="211">
        <v>46186</v>
      </c>
      <c r="AE49" s="206">
        <v>46570</v>
      </c>
      <c r="AF49" s="76">
        <v>11</v>
      </c>
      <c r="AG49" s="76" t="s">
        <v>168</v>
      </c>
    </row>
    <row r="50" spans="1:33" x14ac:dyDescent="0.25">
      <c r="A50" s="51">
        <v>1001086</v>
      </c>
      <c r="B50" s="52" t="s">
        <v>215</v>
      </c>
      <c r="C50" s="53" t="s">
        <v>187</v>
      </c>
      <c r="D50" s="53" t="s">
        <v>184</v>
      </c>
      <c r="E50" s="59">
        <v>104299</v>
      </c>
      <c r="F50" s="54" t="s">
        <v>216</v>
      </c>
      <c r="G50" s="55">
        <v>85399</v>
      </c>
      <c r="H50" s="1" t="s">
        <v>165</v>
      </c>
      <c r="I50" s="199">
        <v>0.05</v>
      </c>
      <c r="J50" s="62">
        <v>0.1</v>
      </c>
      <c r="K50" s="3" t="s">
        <v>104</v>
      </c>
      <c r="L50" s="3">
        <v>9</v>
      </c>
      <c r="M50" s="4" t="s">
        <v>217</v>
      </c>
      <c r="N50" s="203">
        <v>9488.7999999999993</v>
      </c>
      <c r="O50" s="36">
        <v>0</v>
      </c>
      <c r="P50" s="63">
        <v>0</v>
      </c>
      <c r="Q50" s="36">
        <v>85399</v>
      </c>
      <c r="R50" s="31" t="s">
        <v>104</v>
      </c>
      <c r="S50" s="31">
        <v>9</v>
      </c>
      <c r="T50" s="32">
        <v>9488.7777777777774</v>
      </c>
      <c r="U50" s="33">
        <v>5</v>
      </c>
      <c r="V50" s="34">
        <v>17079.8</v>
      </c>
      <c r="X50" s="35">
        <v>0</v>
      </c>
      <c r="Y50" s="36">
        <v>85399</v>
      </c>
      <c r="Z50">
        <v>1001086</v>
      </c>
      <c r="AA50" s="37" t="e">
        <v>#N/A</v>
      </c>
      <c r="AB50" s="38" t="e">
        <v>#N/A</v>
      </c>
      <c r="AC50" s="39" t="e">
        <v>#N/A</v>
      </c>
      <c r="AD50" s="206">
        <v>46186</v>
      </c>
      <c r="AE50" s="206">
        <v>46570</v>
      </c>
      <c r="AF50">
        <v>64</v>
      </c>
      <c r="AG50" t="s">
        <v>218</v>
      </c>
    </row>
    <row r="51" spans="1:33" x14ac:dyDescent="0.25">
      <c r="A51" s="51">
        <v>1001087</v>
      </c>
      <c r="B51" s="52" t="s">
        <v>219</v>
      </c>
      <c r="C51" s="53" t="s">
        <v>187</v>
      </c>
      <c r="D51" s="53" t="s">
        <v>184</v>
      </c>
      <c r="E51" s="59">
        <v>152899</v>
      </c>
      <c r="F51" s="54" t="s">
        <v>220</v>
      </c>
      <c r="G51" s="55">
        <v>116999</v>
      </c>
      <c r="H51" s="1" t="s">
        <v>165</v>
      </c>
      <c r="I51" s="199">
        <v>0.05</v>
      </c>
      <c r="J51" s="62">
        <v>0.08</v>
      </c>
      <c r="K51" s="3" t="s">
        <v>104</v>
      </c>
      <c r="L51" s="3">
        <v>6</v>
      </c>
      <c r="M51" s="4" t="s">
        <v>166</v>
      </c>
      <c r="N51" s="203">
        <v>19499.8</v>
      </c>
      <c r="O51" s="36">
        <v>0</v>
      </c>
      <c r="P51" s="63">
        <v>0</v>
      </c>
      <c r="Q51" s="36">
        <v>116999</v>
      </c>
      <c r="R51" s="31" t="s">
        <v>104</v>
      </c>
      <c r="S51" s="31">
        <v>6</v>
      </c>
      <c r="T51" s="32">
        <v>19499.833333333332</v>
      </c>
      <c r="U51" s="33">
        <v>3</v>
      </c>
      <c r="V51" s="34">
        <v>38999.666666666664</v>
      </c>
      <c r="X51" s="35">
        <v>0</v>
      </c>
      <c r="Y51" s="36">
        <v>116999</v>
      </c>
      <c r="Z51">
        <v>1001087</v>
      </c>
      <c r="AA51" s="37">
        <v>6</v>
      </c>
      <c r="AB51" s="38">
        <v>6</v>
      </c>
      <c r="AC51" s="39" t="s">
        <v>167</v>
      </c>
      <c r="AD51" s="42">
        <v>46186</v>
      </c>
      <c r="AE51" s="206">
        <v>46570</v>
      </c>
      <c r="AF51">
        <v>16</v>
      </c>
      <c r="AG51" t="s">
        <v>168</v>
      </c>
    </row>
    <row r="52" spans="1:33" x14ac:dyDescent="0.25">
      <c r="A52" s="51">
        <v>1003220</v>
      </c>
      <c r="B52" s="52" t="s">
        <v>221</v>
      </c>
      <c r="C52" s="53" t="s">
        <v>222</v>
      </c>
      <c r="D52" s="53" t="s">
        <v>184</v>
      </c>
      <c r="E52" s="59">
        <v>164979</v>
      </c>
      <c r="F52" s="54" t="s">
        <v>223</v>
      </c>
      <c r="G52" s="55">
        <v>126179</v>
      </c>
      <c r="H52" s="1" t="s">
        <v>165</v>
      </c>
      <c r="I52" s="62">
        <v>0.05</v>
      </c>
      <c r="J52" s="62">
        <v>0.08</v>
      </c>
      <c r="K52" s="3" t="s">
        <v>104</v>
      </c>
      <c r="L52" s="3">
        <v>6</v>
      </c>
      <c r="M52" s="4" t="s">
        <v>166</v>
      </c>
      <c r="N52" s="203">
        <v>21029.8</v>
      </c>
      <c r="O52" s="36">
        <v>0</v>
      </c>
      <c r="P52" s="63">
        <v>0</v>
      </c>
      <c r="Q52" s="36">
        <v>126179</v>
      </c>
      <c r="R52" s="31" t="s">
        <v>104</v>
      </c>
      <c r="S52" s="31">
        <v>6</v>
      </c>
      <c r="T52" s="32">
        <v>21029.833333333332</v>
      </c>
      <c r="U52" s="33">
        <v>3</v>
      </c>
      <c r="V52" s="34">
        <v>42059.666666666664</v>
      </c>
      <c r="X52" s="35">
        <v>0</v>
      </c>
      <c r="Y52" s="36">
        <v>126179</v>
      </c>
      <c r="Z52">
        <v>1003220</v>
      </c>
      <c r="AA52" s="37">
        <v>6</v>
      </c>
      <c r="AB52" s="38">
        <v>6</v>
      </c>
      <c r="AC52" s="39" t="s">
        <v>167</v>
      </c>
      <c r="AD52" s="42">
        <v>46186</v>
      </c>
      <c r="AE52" s="206">
        <v>46570</v>
      </c>
      <c r="AF52">
        <v>16</v>
      </c>
      <c r="AG52" t="s">
        <v>168</v>
      </c>
    </row>
    <row r="53" spans="1:33" x14ac:dyDescent="0.25">
      <c r="A53" s="51"/>
      <c r="B53" s="52"/>
      <c r="C53" s="53"/>
      <c r="D53" s="53"/>
      <c r="E53" s="59"/>
      <c r="F53" s="54"/>
      <c r="G53" s="55"/>
      <c r="H53" s="1"/>
      <c r="I53" s="62"/>
      <c r="J53" s="62"/>
      <c r="K53" s="3"/>
      <c r="L53" s="3"/>
      <c r="M53" s="4"/>
      <c r="N53" s="203"/>
      <c r="O53" s="36"/>
      <c r="P53" s="63"/>
      <c r="Q53" s="36"/>
      <c r="R53" s="31"/>
      <c r="S53" s="31"/>
      <c r="T53" s="32"/>
      <c r="U53" s="33"/>
      <c r="V53" s="34"/>
      <c r="X53" s="35"/>
      <c r="Y53" s="36"/>
      <c r="AA53" s="37"/>
      <c r="AB53" s="38"/>
      <c r="AC53" s="39"/>
      <c r="AE53" s="206"/>
    </row>
    <row r="54" spans="1:33" x14ac:dyDescent="0.25">
      <c r="A54" s="51"/>
      <c r="B54" s="52"/>
      <c r="C54" s="53"/>
      <c r="D54" s="53"/>
      <c r="E54" s="59"/>
      <c r="F54" s="54"/>
      <c r="G54" s="55"/>
      <c r="H54" s="1"/>
      <c r="I54" s="62"/>
      <c r="J54" s="62"/>
      <c r="K54" s="3"/>
      <c r="L54" s="3"/>
      <c r="M54" s="4"/>
      <c r="N54" s="203"/>
      <c r="O54" s="36"/>
      <c r="P54" s="63"/>
      <c r="Q54" s="36"/>
      <c r="R54" s="31"/>
      <c r="S54" s="31"/>
      <c r="T54" s="32"/>
      <c r="U54" s="33"/>
      <c r="V54" s="34"/>
      <c r="X54" s="35"/>
      <c r="Y54" s="36"/>
      <c r="AA54" s="37"/>
      <c r="AB54" s="38"/>
      <c r="AC54" s="39"/>
      <c r="AE54" s="206"/>
    </row>
    <row r="55" spans="1:33" x14ac:dyDescent="0.25">
      <c r="A55" s="51"/>
      <c r="B55" s="52"/>
      <c r="C55" s="53"/>
      <c r="D55" s="53"/>
      <c r="E55" s="59"/>
      <c r="F55" s="54"/>
      <c r="G55" s="55"/>
      <c r="H55" s="1"/>
      <c r="I55" s="62"/>
      <c r="J55" s="62"/>
      <c r="K55" s="3"/>
      <c r="L55" s="3"/>
      <c r="M55" s="4"/>
      <c r="N55" s="203"/>
      <c r="O55" s="36"/>
      <c r="P55" s="63"/>
      <c r="Q55" s="36"/>
      <c r="R55" s="31"/>
      <c r="S55" s="31"/>
      <c r="T55" s="32"/>
      <c r="U55" s="33"/>
      <c r="V55" s="34"/>
      <c r="X55" s="35"/>
      <c r="Y55" s="36"/>
      <c r="AA55" s="37"/>
      <c r="AB55" s="38"/>
      <c r="AC55" s="39"/>
      <c r="AE55" s="206"/>
    </row>
    <row r="56" spans="1:33" x14ac:dyDescent="0.25">
      <c r="A56" s="51"/>
      <c r="B56" s="52"/>
      <c r="C56" s="53"/>
      <c r="D56" s="53"/>
      <c r="E56" s="59"/>
      <c r="F56" s="54"/>
      <c r="G56" s="55"/>
      <c r="H56" s="1"/>
      <c r="I56" s="62"/>
      <c r="J56" s="62"/>
      <c r="K56" s="3"/>
      <c r="L56" s="3"/>
      <c r="M56" s="4"/>
      <c r="N56" s="203"/>
      <c r="O56" s="36"/>
      <c r="P56" s="63"/>
      <c r="Q56" s="36"/>
      <c r="R56" s="31"/>
      <c r="S56" s="31"/>
      <c r="T56" s="32"/>
      <c r="U56" s="33"/>
      <c r="V56" s="34"/>
      <c r="X56" s="35"/>
      <c r="Y56" s="36"/>
      <c r="AA56" s="37"/>
      <c r="AB56" s="38"/>
      <c r="AC56" s="39"/>
      <c r="AD56" s="206"/>
      <c r="AE56" s="206"/>
    </row>
    <row r="57" spans="1:33" x14ac:dyDescent="0.25">
      <c r="A57" s="51"/>
      <c r="B57" s="52"/>
      <c r="C57" s="53"/>
      <c r="D57" s="53"/>
      <c r="E57" s="59"/>
      <c r="F57" s="54"/>
      <c r="G57" s="55"/>
      <c r="H57" s="1"/>
      <c r="I57" s="62"/>
      <c r="J57" s="62"/>
      <c r="K57" s="3"/>
      <c r="L57" s="3"/>
      <c r="M57" s="4"/>
      <c r="N57" s="203"/>
      <c r="O57" s="36"/>
      <c r="P57" s="63"/>
      <c r="Q57" s="36"/>
      <c r="R57" s="31"/>
      <c r="S57" s="31"/>
      <c r="T57" s="32"/>
      <c r="U57" s="33"/>
      <c r="V57" s="34"/>
      <c r="X57" s="35"/>
      <c r="Y57" s="36"/>
      <c r="AA57" s="37"/>
      <c r="AB57" s="38"/>
      <c r="AC57" s="39"/>
      <c r="AE57" s="206"/>
    </row>
    <row r="58" spans="1:33" x14ac:dyDescent="0.25">
      <c r="A58" s="51"/>
      <c r="B58" s="52"/>
      <c r="C58" s="53"/>
      <c r="D58" s="53"/>
      <c r="E58" s="59"/>
      <c r="F58" s="54"/>
      <c r="G58" s="55"/>
      <c r="H58" s="1"/>
      <c r="I58" s="62"/>
      <c r="J58" s="62"/>
      <c r="K58" s="3"/>
      <c r="L58" s="3"/>
      <c r="M58" s="4"/>
      <c r="N58" s="203"/>
      <c r="O58" s="36"/>
      <c r="P58" s="63"/>
      <c r="Q58" s="36"/>
      <c r="R58" s="31"/>
      <c r="S58" s="31"/>
      <c r="T58" s="32"/>
      <c r="U58" s="33"/>
      <c r="V58" s="34"/>
      <c r="X58" s="35"/>
      <c r="Y58" s="36"/>
      <c r="AA58" s="37"/>
      <c r="AB58" s="38"/>
      <c r="AC58" s="39"/>
      <c r="AD58" s="206"/>
      <c r="AE58" s="206"/>
    </row>
    <row r="59" spans="1:33" x14ac:dyDescent="0.25">
      <c r="A59" s="51"/>
      <c r="B59" s="52"/>
      <c r="C59" s="53"/>
      <c r="D59" s="53"/>
      <c r="E59" s="59"/>
      <c r="F59" s="54"/>
      <c r="G59" s="55"/>
      <c r="H59" s="1"/>
      <c r="I59" s="62"/>
      <c r="J59" s="62"/>
      <c r="K59" s="3"/>
      <c r="L59" s="3"/>
      <c r="M59" s="4"/>
      <c r="N59" s="203"/>
      <c r="O59" s="36"/>
      <c r="P59" s="63"/>
      <c r="Q59" s="36"/>
      <c r="R59" s="31"/>
      <c r="S59" s="31"/>
      <c r="T59" s="32"/>
      <c r="U59" s="33"/>
      <c r="V59" s="34"/>
      <c r="X59" s="35"/>
      <c r="Y59" s="36"/>
      <c r="AA59" s="37"/>
      <c r="AB59" s="38"/>
      <c r="AC59" s="39"/>
    </row>
    <row r="60" spans="1:33" x14ac:dyDescent="0.25">
      <c r="A60" s="51"/>
      <c r="B60" s="52"/>
      <c r="C60" s="53"/>
      <c r="D60" s="53"/>
      <c r="E60" s="59"/>
      <c r="F60" s="54"/>
      <c r="G60" s="55"/>
      <c r="H60" s="1"/>
      <c r="I60" s="62"/>
      <c r="J60" s="62"/>
      <c r="K60" s="3"/>
      <c r="L60" s="3"/>
      <c r="M60" s="4"/>
      <c r="N60" s="203"/>
      <c r="O60" s="36"/>
      <c r="P60" s="63"/>
      <c r="Q60" s="36"/>
      <c r="R60" s="31"/>
      <c r="S60" s="31"/>
      <c r="T60" s="32"/>
      <c r="U60" s="33"/>
      <c r="V60" s="34"/>
      <c r="X60" s="35"/>
      <c r="Y60" s="36"/>
      <c r="AA60" s="37"/>
      <c r="AB60" s="38"/>
      <c r="AC60" s="39"/>
    </row>
    <row r="61" spans="1:33" x14ac:dyDescent="0.25">
      <c r="A61" s="51"/>
      <c r="B61" s="52"/>
      <c r="C61" s="53"/>
      <c r="D61" s="53"/>
      <c r="E61" s="59"/>
      <c r="F61" s="54"/>
      <c r="G61" s="55"/>
      <c r="H61" s="1"/>
      <c r="I61" s="62"/>
      <c r="J61" s="62"/>
      <c r="K61" s="3"/>
      <c r="L61" s="3"/>
      <c r="M61" s="4"/>
      <c r="N61" s="203"/>
      <c r="O61" s="36"/>
      <c r="P61" s="63"/>
      <c r="Q61" s="36"/>
      <c r="R61" s="31"/>
      <c r="S61" s="31"/>
      <c r="T61" s="32"/>
      <c r="U61" s="33"/>
      <c r="V61" s="34"/>
      <c r="X61" s="35"/>
      <c r="Y61" s="36"/>
      <c r="AA61" s="37"/>
      <c r="AB61" s="38"/>
      <c r="AC61" s="39"/>
    </row>
    <row r="62" spans="1:33" x14ac:dyDescent="0.25">
      <c r="A62" s="51"/>
      <c r="B62" s="52"/>
      <c r="C62" s="53"/>
      <c r="D62" s="53"/>
      <c r="E62" s="59"/>
      <c r="F62" s="54"/>
      <c r="G62" s="55"/>
      <c r="H62" s="1"/>
      <c r="I62" s="62"/>
      <c r="J62" s="62"/>
      <c r="K62" s="3"/>
      <c r="L62" s="3"/>
      <c r="M62" s="4"/>
      <c r="N62" s="203"/>
      <c r="O62" s="36"/>
      <c r="P62" s="63"/>
      <c r="Q62" s="36"/>
      <c r="R62" s="31"/>
      <c r="S62" s="31"/>
      <c r="T62" s="32"/>
      <c r="U62" s="33"/>
      <c r="V62" s="34"/>
      <c r="X62" s="35"/>
      <c r="Y62" s="36"/>
      <c r="AA62" s="37"/>
      <c r="AB62" s="38"/>
      <c r="AC62" s="39"/>
      <c r="AD62" s="206"/>
    </row>
    <row r="63" spans="1:33" x14ac:dyDescent="0.25">
      <c r="A63" s="51"/>
      <c r="B63" s="52"/>
      <c r="C63" s="53"/>
      <c r="D63" s="53"/>
      <c r="E63" s="59"/>
      <c r="F63" s="54"/>
      <c r="G63" s="55"/>
      <c r="H63" s="1"/>
      <c r="I63" s="62"/>
      <c r="J63" s="62"/>
      <c r="K63" s="3"/>
      <c r="L63" s="3"/>
      <c r="M63" s="4"/>
      <c r="N63" s="203"/>
      <c r="O63" s="36"/>
      <c r="P63" s="63"/>
      <c r="Q63" s="36"/>
      <c r="R63" s="31"/>
      <c r="S63" s="31"/>
      <c r="T63" s="32"/>
      <c r="U63" s="33"/>
      <c r="V63" s="34"/>
      <c r="X63" s="35"/>
      <c r="Y63" s="36"/>
      <c r="AA63" s="37"/>
      <c r="AB63" s="38"/>
      <c r="AC63" s="39"/>
      <c r="AD63" s="206"/>
    </row>
    <row r="64" spans="1:33" x14ac:dyDescent="0.25">
      <c r="A64" s="51"/>
      <c r="B64" s="52"/>
      <c r="C64" s="53"/>
      <c r="D64" s="53"/>
      <c r="E64" s="59"/>
      <c r="F64" s="54"/>
      <c r="G64" s="55"/>
      <c r="H64" s="1"/>
      <c r="I64" s="62"/>
      <c r="J64" s="62"/>
      <c r="K64" s="3"/>
      <c r="L64" s="3"/>
      <c r="M64" s="4"/>
      <c r="N64" s="203"/>
      <c r="O64" s="36"/>
      <c r="P64" s="63"/>
      <c r="Q64" s="36"/>
      <c r="R64" s="31"/>
      <c r="S64" s="31"/>
      <c r="T64" s="32"/>
      <c r="U64" s="33"/>
      <c r="V64" s="34"/>
      <c r="X64" s="35"/>
      <c r="Y64" s="36"/>
      <c r="AA64" s="37"/>
      <c r="AB64" s="38"/>
      <c r="AC64" s="39"/>
      <c r="AE64" s="206"/>
    </row>
    <row r="65" spans="1:31" x14ac:dyDescent="0.25">
      <c r="A65" s="51"/>
      <c r="B65" s="52"/>
      <c r="C65" s="53"/>
      <c r="D65" s="53"/>
      <c r="E65" s="59"/>
      <c r="F65" s="54"/>
      <c r="G65" s="55"/>
      <c r="H65" s="1"/>
      <c r="I65" s="62"/>
      <c r="J65" s="62"/>
      <c r="K65" s="3"/>
      <c r="L65" s="3"/>
      <c r="M65" s="4"/>
      <c r="N65" s="203"/>
      <c r="O65" s="36"/>
      <c r="P65" s="63"/>
      <c r="Q65" s="36"/>
      <c r="R65" s="31"/>
      <c r="S65" s="31"/>
      <c r="T65" s="32"/>
      <c r="U65" s="33"/>
      <c r="V65" s="34"/>
      <c r="X65" s="35"/>
      <c r="Y65" s="36"/>
      <c r="AA65" s="37"/>
      <c r="AB65" s="38"/>
      <c r="AC65" s="39"/>
      <c r="AE65" s="206"/>
    </row>
    <row r="66" spans="1:31" x14ac:dyDescent="0.25">
      <c r="A66" s="51"/>
      <c r="B66" s="52"/>
      <c r="C66" s="53"/>
      <c r="D66" s="53"/>
      <c r="E66" s="59"/>
      <c r="F66" s="54"/>
      <c r="G66" s="55"/>
      <c r="H66" s="1"/>
      <c r="I66" s="62"/>
      <c r="J66" s="62"/>
      <c r="K66" s="3"/>
      <c r="L66" s="3"/>
      <c r="M66" s="4"/>
      <c r="N66" s="203"/>
      <c r="O66" s="36"/>
      <c r="P66" s="63"/>
      <c r="Q66" s="36"/>
      <c r="R66" s="31"/>
      <c r="S66" s="31"/>
      <c r="T66" s="32"/>
      <c r="U66" s="33"/>
      <c r="V66" s="34"/>
      <c r="X66" s="35"/>
      <c r="Y66" s="36"/>
      <c r="AA66" s="37"/>
      <c r="AB66" s="38"/>
      <c r="AC66" s="39"/>
    </row>
    <row r="67" spans="1:31" x14ac:dyDescent="0.25">
      <c r="A67" s="51"/>
      <c r="B67" s="52"/>
      <c r="C67" s="53"/>
      <c r="D67" s="53"/>
      <c r="E67" s="59"/>
      <c r="F67" s="54"/>
      <c r="G67" s="55"/>
      <c r="H67" s="1"/>
      <c r="I67" s="62"/>
      <c r="J67" s="62"/>
      <c r="K67" s="3"/>
      <c r="L67" s="3"/>
      <c r="M67" s="4"/>
      <c r="N67" s="203"/>
      <c r="O67" s="36"/>
      <c r="P67" s="63"/>
      <c r="Q67" s="36"/>
      <c r="R67" s="31"/>
      <c r="S67" s="31"/>
      <c r="T67" s="32"/>
      <c r="U67" s="33"/>
      <c r="V67" s="34"/>
      <c r="X67" s="35"/>
      <c r="Y67" s="36"/>
      <c r="AA67" s="37"/>
      <c r="AB67" s="38"/>
      <c r="AC67" s="39"/>
    </row>
    <row r="68" spans="1:31" x14ac:dyDescent="0.25">
      <c r="A68" s="51"/>
      <c r="B68" s="52"/>
      <c r="C68" s="53"/>
      <c r="D68" s="53"/>
      <c r="E68" s="59"/>
      <c r="F68" s="54"/>
      <c r="G68" s="55"/>
      <c r="H68" s="1"/>
      <c r="I68" s="62"/>
      <c r="J68" s="62"/>
      <c r="K68" s="3"/>
      <c r="L68" s="3"/>
      <c r="M68" s="4"/>
      <c r="N68" s="203"/>
      <c r="O68" s="36"/>
      <c r="P68" s="63"/>
      <c r="Q68" s="36"/>
      <c r="R68" s="31"/>
      <c r="S68" s="31"/>
      <c r="T68" s="32"/>
      <c r="U68" s="33"/>
      <c r="V68" s="34"/>
      <c r="X68" s="35"/>
      <c r="Y68" s="36"/>
      <c r="AA68" s="37"/>
      <c r="AB68" s="38"/>
      <c r="AC68" s="39"/>
    </row>
    <row r="69" spans="1:31" x14ac:dyDescent="0.25">
      <c r="A69" s="51"/>
      <c r="B69" s="52"/>
      <c r="C69" s="53"/>
      <c r="D69" s="53"/>
      <c r="E69" s="59"/>
      <c r="F69" s="54"/>
      <c r="G69" s="55"/>
      <c r="H69" s="1"/>
      <c r="I69" s="62"/>
      <c r="J69" s="62"/>
      <c r="K69" s="3"/>
      <c r="L69" s="3"/>
      <c r="M69" s="4"/>
      <c r="N69" s="203"/>
      <c r="O69" s="36"/>
      <c r="P69" s="63"/>
      <c r="Q69" s="36"/>
      <c r="R69" s="31"/>
      <c r="S69" s="31"/>
      <c r="T69" s="32"/>
      <c r="U69" s="33"/>
      <c r="V69" s="34"/>
      <c r="X69" s="35"/>
      <c r="Y69" s="36"/>
      <c r="AA69" s="37"/>
      <c r="AB69" s="38"/>
      <c r="AC69" s="39"/>
    </row>
    <row r="70" spans="1:31" x14ac:dyDescent="0.25">
      <c r="A70" s="51"/>
      <c r="B70" s="52"/>
      <c r="C70" s="53"/>
      <c r="D70" s="53"/>
      <c r="E70" s="59"/>
      <c r="F70" s="54"/>
      <c r="G70" s="55"/>
      <c r="H70" s="1"/>
      <c r="I70" s="62"/>
      <c r="J70" s="62"/>
      <c r="K70" s="3"/>
      <c r="L70" s="3"/>
      <c r="M70" s="4"/>
      <c r="N70" s="203"/>
      <c r="O70" s="36"/>
      <c r="P70" s="63"/>
      <c r="Q70" s="36"/>
      <c r="R70" s="31"/>
      <c r="S70" s="31"/>
      <c r="T70" s="32"/>
      <c r="U70" s="33"/>
      <c r="V70" s="34"/>
      <c r="X70" s="35"/>
      <c r="Y70" s="36"/>
      <c r="AA70" s="37"/>
      <c r="AB70" s="38"/>
      <c r="AC70" s="39"/>
    </row>
    <row r="71" spans="1:31" x14ac:dyDescent="0.25">
      <c r="A71" s="51"/>
      <c r="B71" s="52"/>
      <c r="C71" s="53"/>
      <c r="D71" s="53"/>
      <c r="E71" s="59"/>
      <c r="F71" s="54"/>
      <c r="G71" s="55"/>
      <c r="H71" s="1"/>
      <c r="I71" s="62"/>
      <c r="J71" s="62"/>
      <c r="K71" s="3"/>
      <c r="L71" s="3"/>
      <c r="M71" s="4"/>
      <c r="N71" s="203"/>
      <c r="O71" s="36"/>
      <c r="P71" s="63"/>
      <c r="Q71" s="36"/>
      <c r="R71" s="31"/>
      <c r="S71" s="31"/>
      <c r="T71" s="32"/>
      <c r="U71" s="33"/>
      <c r="V71" s="34"/>
      <c r="X71" s="35"/>
      <c r="Y71" s="36"/>
      <c r="AA71" s="37"/>
      <c r="AB71" s="38"/>
      <c r="AC71" s="39"/>
    </row>
    <row r="72" spans="1:31" x14ac:dyDescent="0.25">
      <c r="A72" s="51"/>
      <c r="B72" s="52"/>
      <c r="C72" s="53"/>
      <c r="D72" s="53"/>
      <c r="E72" s="59"/>
      <c r="F72" s="54"/>
      <c r="G72" s="55"/>
      <c r="H72" s="1"/>
      <c r="I72" s="62"/>
      <c r="J72" s="62"/>
      <c r="K72" s="3"/>
      <c r="L72" s="3"/>
      <c r="M72" s="4"/>
      <c r="N72" s="203"/>
      <c r="O72" s="36"/>
      <c r="P72" s="63"/>
      <c r="Q72" s="36"/>
      <c r="R72" s="31"/>
      <c r="S72" s="31"/>
      <c r="T72" s="32"/>
      <c r="U72" s="33"/>
      <c r="V72" s="34"/>
      <c r="X72" s="35"/>
      <c r="Y72" s="36"/>
      <c r="AA72" s="37"/>
      <c r="AB72" s="38"/>
      <c r="AC72" s="39"/>
    </row>
    <row r="73" spans="1:31" x14ac:dyDescent="0.25">
      <c r="A73" s="51"/>
      <c r="B73" s="52"/>
      <c r="C73" s="53"/>
      <c r="D73" s="53"/>
      <c r="E73" s="59"/>
      <c r="F73" s="54"/>
      <c r="G73" s="55"/>
      <c r="H73" s="1"/>
      <c r="I73" s="62"/>
      <c r="J73" s="62"/>
      <c r="K73" s="3"/>
      <c r="L73" s="3"/>
      <c r="M73" s="4"/>
      <c r="N73" s="203"/>
      <c r="O73" s="36"/>
      <c r="P73" s="63"/>
      <c r="Q73" s="36"/>
      <c r="R73" s="31"/>
      <c r="S73" s="31"/>
      <c r="T73" s="32"/>
      <c r="U73" s="33"/>
      <c r="V73" s="34"/>
      <c r="X73" s="35"/>
      <c r="Y73" s="36"/>
      <c r="AA73" s="37"/>
      <c r="AB73" s="38"/>
      <c r="AC73" s="39"/>
    </row>
    <row r="74" spans="1:31" x14ac:dyDescent="0.25">
      <c r="A74" s="51"/>
      <c r="B74" s="52"/>
      <c r="C74" s="53"/>
      <c r="D74" s="53"/>
      <c r="E74" s="59"/>
      <c r="F74" s="54"/>
      <c r="G74" s="55"/>
      <c r="H74" s="1"/>
      <c r="I74" s="62"/>
      <c r="J74" s="62"/>
      <c r="K74" s="3"/>
      <c r="L74" s="3"/>
      <c r="M74" s="4"/>
      <c r="N74" s="203"/>
      <c r="O74" s="36"/>
      <c r="P74" s="63"/>
      <c r="Q74" s="36"/>
      <c r="R74" s="31"/>
      <c r="S74" s="31"/>
      <c r="T74" s="32"/>
      <c r="U74" s="33"/>
      <c r="V74" s="34"/>
      <c r="X74" s="35"/>
      <c r="Y74" s="36"/>
      <c r="AA74" s="37"/>
      <c r="AB74" s="38"/>
      <c r="AC74" s="39"/>
    </row>
    <row r="75" spans="1:31" x14ac:dyDescent="0.25">
      <c r="A75" s="51"/>
      <c r="B75" s="52"/>
      <c r="C75" s="53"/>
      <c r="D75" s="53"/>
      <c r="E75" s="59"/>
      <c r="F75" s="54"/>
      <c r="G75" s="55"/>
      <c r="H75" s="1"/>
      <c r="I75" s="62"/>
      <c r="J75" s="62"/>
      <c r="K75" s="3"/>
      <c r="L75" s="3"/>
      <c r="M75" s="4"/>
      <c r="N75" s="203"/>
      <c r="O75" s="36"/>
      <c r="P75" s="63"/>
      <c r="Q75" s="36"/>
      <c r="R75" s="31"/>
      <c r="S75" s="31"/>
      <c r="T75" s="32"/>
      <c r="U75" s="33"/>
      <c r="V75" s="34"/>
      <c r="X75" s="35"/>
      <c r="Y75" s="36"/>
      <c r="AA75" s="37"/>
      <c r="AB75" s="38"/>
      <c r="AC75" s="39"/>
    </row>
    <row r="76" spans="1:31" x14ac:dyDescent="0.25">
      <c r="A76" s="107"/>
      <c r="B76" s="52"/>
      <c r="C76" s="53"/>
      <c r="D76" s="53"/>
      <c r="E76" s="59"/>
      <c r="F76" s="54"/>
      <c r="G76" s="55"/>
      <c r="H76" s="1"/>
      <c r="I76" s="62"/>
      <c r="J76" s="62"/>
      <c r="K76" s="3"/>
      <c r="L76" s="3"/>
      <c r="M76" s="4"/>
      <c r="N76" s="203"/>
      <c r="O76" s="36"/>
      <c r="P76" s="63"/>
      <c r="Q76" s="36"/>
      <c r="R76" s="31"/>
      <c r="S76" s="31"/>
      <c r="T76" s="32"/>
      <c r="U76" s="33"/>
      <c r="V76" s="34"/>
      <c r="X76" s="35"/>
      <c r="Y76" s="36"/>
      <c r="AA76" s="37"/>
      <c r="AB76" s="38"/>
      <c r="AC76" s="39"/>
    </row>
    <row r="77" spans="1:31" x14ac:dyDescent="0.25">
      <c r="A77" s="51"/>
      <c r="B77" s="52"/>
      <c r="C77" s="53"/>
      <c r="D77" s="53"/>
      <c r="E77" s="59"/>
      <c r="F77" s="54"/>
      <c r="G77" s="55"/>
      <c r="H77" s="1"/>
      <c r="I77" s="62"/>
      <c r="J77" s="62"/>
      <c r="K77" s="3"/>
      <c r="L77" s="3"/>
      <c r="M77" s="4"/>
      <c r="N77" s="203"/>
      <c r="O77" s="36"/>
      <c r="P77" s="63"/>
      <c r="Q77" s="36"/>
      <c r="R77" s="31"/>
      <c r="S77" s="31"/>
      <c r="T77" s="32"/>
      <c r="U77" s="33"/>
      <c r="V77" s="34"/>
      <c r="X77" s="35"/>
      <c r="Y77" s="36"/>
      <c r="AA77" s="37"/>
      <c r="AB77" s="38"/>
      <c r="AC77" s="39"/>
    </row>
    <row r="78" spans="1:31" x14ac:dyDescent="0.25">
      <c r="A78" s="51"/>
      <c r="B78" s="52"/>
      <c r="C78" s="53"/>
      <c r="D78" s="53"/>
      <c r="E78" s="59"/>
      <c r="F78" s="54"/>
      <c r="G78" s="55"/>
      <c r="H78" s="1"/>
      <c r="I78" s="62"/>
      <c r="J78" s="62"/>
      <c r="K78" s="3"/>
      <c r="L78" s="3"/>
      <c r="M78" s="4"/>
      <c r="N78" s="203"/>
      <c r="O78" s="36"/>
      <c r="P78" s="63"/>
      <c r="Q78" s="36"/>
      <c r="R78" s="31"/>
      <c r="S78" s="31"/>
      <c r="T78" s="32"/>
      <c r="U78" s="33"/>
      <c r="V78" s="34"/>
      <c r="X78" s="35"/>
      <c r="Y78" s="36"/>
      <c r="AA78" s="37"/>
      <c r="AB78" s="38"/>
      <c r="AC78" s="39"/>
    </row>
    <row r="79" spans="1:31" x14ac:dyDescent="0.25">
      <c r="A79" s="51"/>
      <c r="B79" s="52"/>
      <c r="C79" s="53"/>
      <c r="D79" s="53"/>
      <c r="E79" s="59"/>
      <c r="F79" s="54"/>
      <c r="G79" s="55"/>
      <c r="H79" s="1"/>
      <c r="I79" s="62"/>
      <c r="J79" s="62"/>
      <c r="K79" s="3"/>
      <c r="L79" s="3"/>
      <c r="M79" s="4"/>
      <c r="N79" s="203"/>
      <c r="O79" s="36"/>
      <c r="P79" s="63"/>
      <c r="Q79" s="36"/>
      <c r="R79" s="31"/>
      <c r="S79" s="31"/>
      <c r="T79" s="32"/>
      <c r="U79" s="33"/>
      <c r="V79" s="34"/>
      <c r="X79" s="35"/>
      <c r="Y79" s="36"/>
      <c r="AA79" s="37"/>
      <c r="AB79" s="38"/>
      <c r="AC79" s="39"/>
    </row>
    <row r="80" spans="1:31" x14ac:dyDescent="0.25">
      <c r="A80" s="51"/>
      <c r="B80" s="52"/>
      <c r="C80" s="53"/>
      <c r="D80" s="53"/>
      <c r="E80" s="59"/>
      <c r="F80" s="54"/>
      <c r="G80" s="55"/>
      <c r="H80" s="1"/>
      <c r="I80" s="62"/>
      <c r="J80" s="62"/>
      <c r="K80" s="3"/>
      <c r="L80" s="3"/>
      <c r="M80" s="4"/>
      <c r="N80" s="203"/>
      <c r="O80" s="36"/>
      <c r="P80" s="63"/>
      <c r="Q80" s="36"/>
      <c r="R80" s="31"/>
      <c r="S80" s="31"/>
      <c r="T80" s="32"/>
      <c r="U80" s="33"/>
      <c r="V80" s="34"/>
      <c r="X80" s="35"/>
      <c r="Y80" s="36"/>
      <c r="AA80" s="37"/>
      <c r="AB80" s="38"/>
      <c r="AC80" s="39"/>
    </row>
    <row r="81" spans="1:29" x14ac:dyDescent="0.25">
      <c r="A81" s="51"/>
      <c r="B81" s="52"/>
      <c r="C81" s="53"/>
      <c r="D81" s="53"/>
      <c r="E81" s="59"/>
      <c r="F81" s="54"/>
      <c r="G81" s="55"/>
      <c r="H81" s="1"/>
      <c r="I81" s="62"/>
      <c r="J81" s="62"/>
      <c r="K81" s="3"/>
      <c r="L81" s="3"/>
      <c r="M81" s="4"/>
      <c r="N81" s="203"/>
      <c r="O81" s="36"/>
      <c r="P81" s="63"/>
      <c r="Q81" s="36"/>
      <c r="R81" s="31"/>
      <c r="S81" s="31"/>
      <c r="T81" s="32"/>
      <c r="U81" s="33"/>
      <c r="V81" s="34"/>
      <c r="X81" s="35"/>
      <c r="Y81" s="36"/>
      <c r="AA81" s="37"/>
      <c r="AB81" s="38"/>
      <c r="AC81" s="39"/>
    </row>
    <row r="82" spans="1:29" x14ac:dyDescent="0.25">
      <c r="A82" s="51"/>
      <c r="B82" s="52"/>
      <c r="C82" s="53"/>
      <c r="D82" s="53"/>
      <c r="E82" s="59"/>
      <c r="F82" s="54"/>
      <c r="G82" s="55"/>
      <c r="H82" s="1"/>
      <c r="I82" s="62"/>
      <c r="J82" s="62"/>
      <c r="K82" s="3"/>
      <c r="L82" s="3"/>
      <c r="M82" s="4"/>
      <c r="N82" s="203"/>
      <c r="O82" s="36"/>
      <c r="P82" s="63"/>
      <c r="Q82" s="36"/>
      <c r="R82" s="31"/>
      <c r="S82" s="31"/>
      <c r="T82" s="32"/>
      <c r="U82" s="33"/>
      <c r="V82" s="34"/>
      <c r="X82" s="35"/>
      <c r="Y82" s="36"/>
      <c r="AA82" s="37"/>
      <c r="AB82" s="38"/>
      <c r="AC82" s="39"/>
    </row>
    <row r="83" spans="1:29" x14ac:dyDescent="0.25">
      <c r="A83" s="51"/>
      <c r="B83" s="52"/>
      <c r="C83" s="53"/>
      <c r="D83" s="53"/>
      <c r="E83" s="81"/>
      <c r="F83" s="82"/>
      <c r="G83" s="83"/>
      <c r="H83" s="1"/>
      <c r="I83" s="84"/>
      <c r="J83" s="84"/>
      <c r="K83" s="3"/>
      <c r="L83" s="3"/>
      <c r="M83" s="4"/>
      <c r="N83" s="203"/>
      <c r="O83" s="85"/>
      <c r="P83" s="86"/>
      <c r="Q83" s="85"/>
      <c r="R83" s="31"/>
      <c r="S83" s="31"/>
      <c r="T83" s="87"/>
      <c r="U83" s="33"/>
      <c r="V83" s="88"/>
      <c r="X83" s="89"/>
      <c r="Y83" s="85"/>
      <c r="AA83" s="37"/>
      <c r="AB83" s="38"/>
      <c r="AC83" s="39"/>
    </row>
    <row r="84" spans="1:29" x14ac:dyDescent="0.25">
      <c r="A84" s="51"/>
      <c r="B84" s="52"/>
      <c r="C84" s="53"/>
      <c r="D84" s="53"/>
      <c r="E84" s="81"/>
      <c r="F84" s="82"/>
      <c r="G84" s="83"/>
      <c r="H84" s="1"/>
      <c r="I84" s="84"/>
      <c r="J84" s="84"/>
      <c r="K84" s="3"/>
      <c r="L84" s="3"/>
      <c r="M84" s="4"/>
      <c r="N84" s="203"/>
      <c r="O84" s="85"/>
      <c r="P84" s="86"/>
      <c r="Q84" s="85"/>
      <c r="R84" s="31"/>
      <c r="S84" s="31"/>
      <c r="T84" s="87"/>
      <c r="U84" s="33"/>
      <c r="V84" s="88"/>
      <c r="X84" s="89"/>
      <c r="Y84" s="85"/>
      <c r="AA84" s="37"/>
      <c r="AB84" s="38"/>
      <c r="AC84" s="39"/>
    </row>
    <row r="85" spans="1:29" x14ac:dyDescent="0.25">
      <c r="A85" s="51"/>
      <c r="B85" s="52"/>
      <c r="C85" s="53"/>
      <c r="D85" s="53"/>
      <c r="E85" s="81"/>
      <c r="F85" s="82"/>
      <c r="G85" s="83"/>
      <c r="H85" s="1"/>
      <c r="I85" s="84"/>
      <c r="J85" s="84"/>
      <c r="K85" s="3"/>
      <c r="L85" s="3"/>
      <c r="M85" s="4"/>
      <c r="N85" s="203"/>
      <c r="O85" s="85"/>
      <c r="P85" s="86"/>
      <c r="Q85" s="85"/>
      <c r="R85" s="31"/>
      <c r="S85" s="31"/>
      <c r="T85" s="87"/>
      <c r="U85" s="33"/>
      <c r="V85" s="88"/>
      <c r="X85" s="89"/>
      <c r="Y85" s="85"/>
      <c r="AA85" s="37"/>
      <c r="AB85" s="38"/>
      <c r="AC85" s="39"/>
    </row>
    <row r="86" spans="1:29" x14ac:dyDescent="0.25">
      <c r="A86" s="51"/>
      <c r="B86" s="52"/>
      <c r="C86" s="53"/>
      <c r="D86" s="53"/>
      <c r="E86" s="81"/>
      <c r="F86" s="82"/>
      <c r="G86" s="83"/>
      <c r="H86" s="1"/>
      <c r="I86" s="84"/>
      <c r="J86" s="84"/>
      <c r="K86" s="3"/>
      <c r="L86" s="3"/>
      <c r="M86" s="4"/>
      <c r="N86" s="203"/>
      <c r="O86" s="85"/>
      <c r="P86" s="86"/>
      <c r="Q86" s="85"/>
      <c r="R86" s="31"/>
      <c r="S86" s="31"/>
      <c r="T86" s="87"/>
      <c r="U86" s="33"/>
      <c r="V86" s="88"/>
      <c r="X86" s="89"/>
      <c r="Y86" s="85"/>
      <c r="AA86" s="37"/>
      <c r="AB86" s="38"/>
      <c r="AC86" s="39"/>
    </row>
    <row r="87" spans="1:29" x14ac:dyDescent="0.25">
      <c r="A87" s="51"/>
      <c r="B87" s="52"/>
      <c r="C87" s="53"/>
      <c r="D87" s="53"/>
      <c r="E87" s="81"/>
      <c r="F87" s="82"/>
      <c r="G87" s="83"/>
      <c r="H87" s="1"/>
      <c r="I87" s="84"/>
      <c r="J87" s="84"/>
      <c r="K87" s="3"/>
      <c r="L87" s="3"/>
      <c r="M87" s="4"/>
      <c r="N87" s="203"/>
      <c r="O87" s="85"/>
      <c r="P87" s="86"/>
      <c r="Q87" s="85"/>
      <c r="R87" s="31"/>
      <c r="S87" s="31"/>
      <c r="T87" s="87"/>
      <c r="U87" s="33"/>
      <c r="V87" s="88"/>
      <c r="X87" s="89"/>
      <c r="Y87" s="85"/>
      <c r="AA87" s="37"/>
      <c r="AB87" s="38"/>
      <c r="AC87" s="39"/>
    </row>
    <row r="88" spans="1:29" x14ac:dyDescent="0.25">
      <c r="A88" s="51"/>
      <c r="B88" s="52"/>
      <c r="C88" s="53"/>
      <c r="D88" s="53"/>
      <c r="E88" s="81"/>
      <c r="F88" s="82"/>
      <c r="G88" s="83"/>
      <c r="H88" s="1"/>
      <c r="I88" s="84"/>
      <c r="J88" s="84"/>
      <c r="K88" s="3"/>
      <c r="L88" s="3"/>
      <c r="M88" s="4"/>
      <c r="N88" s="203"/>
      <c r="O88" s="85"/>
      <c r="P88" s="86"/>
      <c r="Q88" s="85"/>
      <c r="R88" s="31"/>
      <c r="S88" s="31"/>
      <c r="T88" s="87"/>
      <c r="U88" s="33"/>
      <c r="V88" s="88"/>
      <c r="X88" s="89"/>
      <c r="Y88" s="85"/>
      <c r="AA88" s="37"/>
      <c r="AB88" s="38"/>
      <c r="AC88" s="39"/>
    </row>
    <row r="89" spans="1:29" x14ac:dyDescent="0.25">
      <c r="A89" s="51"/>
      <c r="B89" s="52"/>
      <c r="C89" s="53"/>
      <c r="D89" s="53"/>
      <c r="E89" s="81"/>
      <c r="F89" s="82"/>
      <c r="G89" s="83"/>
      <c r="H89" s="1"/>
      <c r="I89" s="84"/>
      <c r="J89" s="84"/>
      <c r="K89" s="3"/>
      <c r="L89" s="3"/>
      <c r="M89" s="4"/>
      <c r="N89" s="203"/>
      <c r="O89" s="85"/>
      <c r="P89" s="86"/>
      <c r="Q89" s="85"/>
      <c r="R89" s="31"/>
      <c r="S89" s="31"/>
      <c r="T89" s="87"/>
      <c r="U89" s="33"/>
      <c r="V89" s="88"/>
      <c r="X89" s="89"/>
      <c r="Y89" s="85"/>
      <c r="AA89" s="37"/>
      <c r="AB89" s="38"/>
      <c r="AC89" s="39"/>
    </row>
    <row r="90" spans="1:29" x14ac:dyDescent="0.25">
      <c r="A90" s="51"/>
      <c r="B90" s="52"/>
      <c r="C90" s="53"/>
      <c r="D90" s="53"/>
      <c r="E90" s="81"/>
      <c r="F90" s="82"/>
      <c r="G90" s="83"/>
      <c r="H90" s="1"/>
      <c r="I90" s="84"/>
      <c r="J90" s="84"/>
      <c r="K90" s="3"/>
      <c r="L90" s="3"/>
      <c r="M90" s="4"/>
      <c r="N90" s="203"/>
      <c r="O90" s="85"/>
      <c r="P90" s="86"/>
      <c r="Q90" s="85"/>
      <c r="R90" s="31"/>
      <c r="S90" s="31"/>
      <c r="T90" s="87"/>
      <c r="U90" s="33"/>
      <c r="V90" s="88"/>
      <c r="X90" s="89"/>
      <c r="Y90" s="85"/>
      <c r="AA90" s="37"/>
      <c r="AB90" s="38"/>
      <c r="AC90" s="39"/>
    </row>
    <row r="91" spans="1:29" x14ac:dyDescent="0.25">
      <c r="A91" s="51"/>
      <c r="B91" s="52"/>
      <c r="C91" s="53"/>
      <c r="D91" s="53"/>
      <c r="E91" s="81"/>
      <c r="F91" s="82"/>
      <c r="G91" s="83"/>
      <c r="H91" s="1"/>
      <c r="I91" s="84"/>
      <c r="J91" s="84"/>
      <c r="K91" s="3"/>
      <c r="L91" s="3"/>
      <c r="M91" s="4"/>
      <c r="N91" s="203"/>
      <c r="O91" s="85"/>
      <c r="P91" s="86"/>
      <c r="Q91" s="85"/>
      <c r="R91" s="31"/>
      <c r="S91" s="31"/>
      <c r="T91" s="87"/>
      <c r="U91" s="33"/>
      <c r="V91" s="88"/>
      <c r="X91" s="89"/>
      <c r="Y91" s="85"/>
      <c r="AA91" s="37"/>
      <c r="AB91" s="38"/>
      <c r="AC91" s="39"/>
    </row>
    <row r="92" spans="1:29" x14ac:dyDescent="0.25">
      <c r="A92" s="51"/>
      <c r="B92" s="52"/>
      <c r="C92" s="53"/>
      <c r="D92" s="53"/>
      <c r="E92" s="81"/>
      <c r="F92" s="82"/>
      <c r="G92" s="83"/>
      <c r="H92" s="1"/>
      <c r="I92" s="84"/>
      <c r="J92" s="84"/>
      <c r="K92" s="3"/>
      <c r="L92" s="3"/>
      <c r="M92" s="4"/>
      <c r="N92" s="203"/>
      <c r="O92" s="85"/>
      <c r="P92" s="86"/>
      <c r="Q92" s="85"/>
      <c r="R92" s="31"/>
      <c r="S92" s="31"/>
      <c r="T92" s="87"/>
      <c r="U92" s="33"/>
      <c r="V92" s="88"/>
      <c r="X92" s="89"/>
      <c r="Y92" s="85"/>
      <c r="AA92" s="37"/>
      <c r="AB92" s="38"/>
      <c r="AC92" s="39"/>
    </row>
    <row r="93" spans="1:29" x14ac:dyDescent="0.25">
      <c r="A93" s="51"/>
      <c r="B93" s="52"/>
      <c r="C93" s="53"/>
      <c r="D93" s="53"/>
      <c r="E93" s="81"/>
      <c r="F93" s="82"/>
      <c r="G93" s="83"/>
      <c r="H93" s="1"/>
      <c r="I93" s="84"/>
      <c r="J93" s="84"/>
      <c r="K93" s="3"/>
      <c r="L93" s="3"/>
      <c r="M93" s="4"/>
      <c r="N93" s="203"/>
      <c r="O93" s="85"/>
      <c r="P93" s="86"/>
      <c r="Q93" s="85"/>
      <c r="R93" s="31"/>
      <c r="S93" s="31"/>
      <c r="T93" s="87"/>
      <c r="U93" s="33"/>
      <c r="V93" s="88"/>
      <c r="X93" s="89"/>
      <c r="Y93" s="85"/>
      <c r="AA93" s="37"/>
      <c r="AB93" s="38"/>
      <c r="AC93" s="39"/>
    </row>
    <row r="94" spans="1:29" x14ac:dyDescent="0.25">
      <c r="A94" s="51"/>
      <c r="B94" s="52"/>
      <c r="C94" s="53"/>
      <c r="D94" s="53"/>
      <c r="E94" s="81"/>
      <c r="F94" s="82"/>
      <c r="G94" s="83"/>
      <c r="H94" s="1"/>
      <c r="I94" s="84"/>
      <c r="J94" s="84"/>
      <c r="K94" s="3"/>
      <c r="L94" s="3"/>
      <c r="M94" s="4"/>
      <c r="N94" s="203"/>
      <c r="O94" s="85"/>
      <c r="P94" s="86"/>
      <c r="Q94" s="85"/>
      <c r="R94" s="31"/>
      <c r="S94" s="31"/>
      <c r="T94" s="87"/>
      <c r="U94" s="33"/>
      <c r="V94" s="88"/>
      <c r="X94" s="89"/>
      <c r="Y94" s="85"/>
      <c r="AA94" s="37"/>
      <c r="AB94" s="38"/>
      <c r="AC94" s="39"/>
    </row>
    <row r="95" spans="1:29" x14ac:dyDescent="0.25">
      <c r="A95" s="51"/>
      <c r="B95" s="52"/>
      <c r="C95" s="53"/>
      <c r="D95" s="53"/>
      <c r="E95" s="81"/>
      <c r="F95" s="82"/>
      <c r="G95" s="83"/>
      <c r="H95" s="1"/>
      <c r="I95" s="84"/>
      <c r="J95" s="84"/>
      <c r="K95" s="3"/>
      <c r="L95" s="3"/>
      <c r="M95" s="4"/>
      <c r="N95" s="203"/>
      <c r="O95" s="85"/>
      <c r="P95" s="86"/>
      <c r="Q95" s="85"/>
      <c r="R95" s="31"/>
      <c r="S95" s="31"/>
      <c r="T95" s="87"/>
      <c r="U95" s="33"/>
      <c r="V95" s="88"/>
      <c r="X95" s="89"/>
      <c r="Y95" s="85"/>
      <c r="AA95" s="37"/>
      <c r="AB95" s="38"/>
      <c r="AC95" s="39"/>
    </row>
    <row r="96" spans="1:29" x14ac:dyDescent="0.25">
      <c r="A96" s="51"/>
      <c r="B96" s="52"/>
      <c r="C96" s="53"/>
      <c r="D96" s="53"/>
      <c r="E96" s="81"/>
      <c r="F96" s="82"/>
      <c r="G96" s="83"/>
      <c r="H96" s="1"/>
      <c r="I96" s="84"/>
      <c r="J96" s="84"/>
      <c r="K96" s="3"/>
      <c r="L96" s="3"/>
      <c r="M96" s="4"/>
      <c r="N96" s="203"/>
      <c r="O96" s="85"/>
      <c r="P96" s="86"/>
      <c r="Q96" s="85"/>
      <c r="R96" s="31"/>
      <c r="S96" s="31"/>
      <c r="T96" s="87"/>
      <c r="U96" s="33"/>
      <c r="V96" s="88"/>
      <c r="X96" s="89"/>
      <c r="Y96" s="85"/>
      <c r="AA96" s="37"/>
      <c r="AB96" s="38"/>
      <c r="AC96" s="39"/>
    </row>
    <row r="97" spans="1:29" x14ac:dyDescent="0.25">
      <c r="A97" s="51"/>
      <c r="B97" s="52"/>
      <c r="C97" s="53"/>
      <c r="D97" s="53"/>
      <c r="E97" s="81"/>
      <c r="F97" s="82"/>
      <c r="G97" s="83"/>
      <c r="H97" s="1"/>
      <c r="I97" s="84"/>
      <c r="J97" s="84"/>
      <c r="K97" s="3"/>
      <c r="L97" s="3"/>
      <c r="M97" s="4"/>
      <c r="N97" s="203"/>
      <c r="O97" s="85"/>
      <c r="P97" s="86"/>
      <c r="Q97" s="85"/>
      <c r="R97" s="31"/>
      <c r="S97" s="31"/>
      <c r="T97" s="87"/>
      <c r="U97" s="33"/>
      <c r="V97" s="88"/>
      <c r="X97" s="89"/>
      <c r="Y97" s="85"/>
      <c r="AA97" s="37"/>
      <c r="AB97" s="38"/>
      <c r="AC97" s="39"/>
    </row>
    <row r="98" spans="1:29" x14ac:dyDescent="0.25">
      <c r="A98" s="51"/>
      <c r="B98" s="52"/>
      <c r="C98" s="53"/>
      <c r="D98" s="53"/>
      <c r="E98" s="81"/>
      <c r="F98" s="82"/>
      <c r="G98" s="83"/>
      <c r="H98" s="1"/>
      <c r="I98" s="84"/>
      <c r="J98" s="84"/>
      <c r="K98" s="3"/>
      <c r="L98" s="3"/>
      <c r="M98" s="4"/>
      <c r="N98" s="203"/>
      <c r="O98" s="85"/>
      <c r="P98" s="86"/>
      <c r="Q98" s="85"/>
      <c r="R98" s="31"/>
      <c r="S98" s="31"/>
      <c r="T98" s="87"/>
      <c r="U98" s="33"/>
      <c r="V98" s="88"/>
      <c r="X98" s="89"/>
      <c r="Y98" s="85"/>
      <c r="AA98" s="37"/>
      <c r="AB98" s="38"/>
      <c r="AC98" s="39"/>
    </row>
    <row r="99" spans="1:29" x14ac:dyDescent="0.25">
      <c r="A99" s="51"/>
      <c r="B99" s="52"/>
      <c r="C99" s="53"/>
      <c r="D99" s="53"/>
      <c r="E99" s="81"/>
      <c r="F99" s="82"/>
      <c r="G99" s="83"/>
      <c r="H99" s="1"/>
      <c r="I99" s="84"/>
      <c r="J99" s="84"/>
      <c r="K99" s="3"/>
      <c r="L99" s="3"/>
      <c r="M99" s="4"/>
      <c r="N99" s="203"/>
      <c r="O99" s="85"/>
      <c r="P99" s="86"/>
      <c r="Q99" s="85"/>
      <c r="R99" s="31"/>
      <c r="S99" s="31"/>
      <c r="T99" s="87"/>
      <c r="U99" s="33"/>
      <c r="V99" s="88"/>
      <c r="X99" s="89"/>
      <c r="Y99" s="85"/>
      <c r="AA99" s="37"/>
      <c r="AB99" s="38"/>
      <c r="AC99" s="39"/>
    </row>
    <row r="100" spans="1:29" x14ac:dyDescent="0.25">
      <c r="A100" s="51"/>
      <c r="B100" s="52"/>
      <c r="C100" s="53"/>
      <c r="D100" s="53"/>
      <c r="E100" s="81"/>
      <c r="F100" s="82"/>
      <c r="G100" s="83"/>
      <c r="H100" s="1"/>
      <c r="I100" s="84"/>
      <c r="J100" s="84"/>
      <c r="K100" s="3"/>
      <c r="L100" s="3"/>
      <c r="M100" s="4"/>
      <c r="N100" s="203"/>
      <c r="O100" s="85"/>
      <c r="P100" s="86"/>
      <c r="Q100" s="85"/>
      <c r="R100" s="31"/>
      <c r="S100" s="31"/>
      <c r="T100" s="87"/>
      <c r="U100" s="33"/>
      <c r="V100" s="88"/>
      <c r="X100" s="89"/>
      <c r="Y100" s="85"/>
      <c r="AA100" s="37"/>
      <c r="AB100" s="38"/>
      <c r="AC100" s="39"/>
    </row>
    <row r="101" spans="1:29" x14ac:dyDescent="0.25">
      <c r="A101" s="51"/>
      <c r="B101" s="52"/>
      <c r="C101" s="53"/>
      <c r="D101" s="53"/>
      <c r="E101" s="81"/>
      <c r="F101" s="82"/>
      <c r="G101" s="83"/>
      <c r="H101" s="1"/>
      <c r="I101" s="84"/>
      <c r="J101" s="84"/>
      <c r="K101" s="3"/>
      <c r="L101" s="3"/>
      <c r="M101" s="4"/>
      <c r="N101" s="203"/>
      <c r="O101" s="85"/>
      <c r="P101" s="86"/>
      <c r="Q101" s="85"/>
      <c r="R101" s="31"/>
      <c r="S101" s="31"/>
      <c r="T101" s="87"/>
      <c r="U101" s="33"/>
      <c r="V101" s="88"/>
      <c r="X101" s="89"/>
      <c r="Y101" s="85"/>
      <c r="AA101" s="37"/>
      <c r="AB101" s="38"/>
      <c r="AC101" s="39"/>
    </row>
    <row r="102" spans="1:29" x14ac:dyDescent="0.25">
      <c r="A102" s="51"/>
      <c r="B102" s="52"/>
      <c r="C102" s="53"/>
      <c r="D102" s="53"/>
      <c r="E102" s="81"/>
      <c r="F102" s="82"/>
      <c r="G102" s="83"/>
      <c r="H102" s="1"/>
      <c r="I102" s="84"/>
      <c r="J102" s="84"/>
      <c r="K102" s="3"/>
      <c r="L102" s="3"/>
      <c r="M102" s="4"/>
      <c r="N102" s="203"/>
      <c r="O102" s="85"/>
      <c r="P102" s="86"/>
      <c r="Q102" s="85"/>
      <c r="R102" s="31"/>
      <c r="S102" s="31"/>
      <c r="T102" s="87"/>
      <c r="U102" s="33"/>
      <c r="V102" s="88"/>
      <c r="X102" s="89"/>
      <c r="Y102" s="85"/>
      <c r="AA102" s="37"/>
      <c r="AB102" s="38"/>
      <c r="AC102" s="39"/>
    </row>
    <row r="103" spans="1:29" x14ac:dyDescent="0.25">
      <c r="A103" s="51"/>
      <c r="B103" s="52"/>
      <c r="C103" s="53"/>
      <c r="D103" s="53"/>
      <c r="E103" s="81"/>
      <c r="F103" s="82"/>
      <c r="G103" s="83"/>
      <c r="H103" s="1"/>
      <c r="I103" s="84"/>
      <c r="J103" s="84"/>
      <c r="K103" s="3"/>
      <c r="L103" s="3"/>
      <c r="M103" s="4"/>
      <c r="N103" s="203"/>
      <c r="O103" s="85"/>
      <c r="P103" s="86"/>
      <c r="Q103" s="85"/>
      <c r="R103" s="31"/>
      <c r="S103" s="31"/>
      <c r="T103" s="87"/>
      <c r="U103" s="33"/>
      <c r="V103" s="88"/>
      <c r="X103" s="89"/>
      <c r="Y103" s="85"/>
      <c r="AA103" s="37"/>
      <c r="AB103" s="38"/>
      <c r="AC103" s="39"/>
    </row>
    <row r="104" spans="1:29" x14ac:dyDescent="0.25">
      <c r="A104" s="51"/>
      <c r="B104" s="52"/>
      <c r="C104" s="53"/>
      <c r="D104" s="53"/>
      <c r="E104" s="81"/>
      <c r="F104" s="82"/>
      <c r="G104" s="83"/>
      <c r="H104" s="1"/>
      <c r="I104" s="84"/>
      <c r="J104" s="84"/>
      <c r="K104" s="3"/>
      <c r="L104" s="3"/>
      <c r="M104" s="4"/>
      <c r="N104" s="203"/>
      <c r="O104" s="85"/>
      <c r="P104" s="86"/>
      <c r="Q104" s="85"/>
      <c r="R104" s="31"/>
      <c r="S104" s="31"/>
      <c r="T104" s="87"/>
      <c r="U104" s="33"/>
      <c r="V104" s="88"/>
      <c r="X104" s="89"/>
      <c r="Y104" s="85"/>
      <c r="AA104" s="37"/>
      <c r="AB104" s="38"/>
      <c r="AC104" s="39"/>
    </row>
    <row r="105" spans="1:29" x14ac:dyDescent="0.25">
      <c r="A105" s="51"/>
      <c r="B105" s="52"/>
      <c r="C105" s="53"/>
      <c r="D105" s="53"/>
      <c r="E105" s="81"/>
      <c r="F105" s="82"/>
      <c r="G105" s="83"/>
      <c r="H105" s="1"/>
      <c r="I105" s="84"/>
      <c r="J105" s="84"/>
      <c r="K105" s="3"/>
      <c r="L105" s="3"/>
      <c r="M105" s="4"/>
      <c r="N105" s="203"/>
      <c r="O105" s="85"/>
      <c r="P105" s="86"/>
      <c r="Q105" s="85"/>
      <c r="R105" s="31"/>
      <c r="S105" s="31"/>
      <c r="T105" s="87"/>
      <c r="U105" s="33"/>
      <c r="V105" s="88"/>
      <c r="X105" s="89"/>
      <c r="Y105" s="85"/>
      <c r="AA105" s="37"/>
      <c r="AB105" s="38"/>
      <c r="AC105" s="39"/>
    </row>
    <row r="106" spans="1:29" x14ac:dyDescent="0.25">
      <c r="A106" s="51"/>
      <c r="B106" s="52"/>
      <c r="C106" s="53"/>
      <c r="D106" s="53"/>
      <c r="E106" s="81"/>
      <c r="F106" s="82"/>
      <c r="G106" s="83"/>
      <c r="H106" s="1"/>
      <c r="I106" s="84"/>
      <c r="J106" s="84"/>
      <c r="K106" s="3"/>
      <c r="L106" s="3"/>
      <c r="M106" s="4"/>
      <c r="N106" s="203"/>
      <c r="O106" s="85"/>
      <c r="P106" s="86"/>
      <c r="Q106" s="85"/>
      <c r="R106" s="31"/>
      <c r="S106" s="31"/>
      <c r="T106" s="87"/>
      <c r="U106" s="33"/>
      <c r="V106" s="88"/>
      <c r="X106" s="89"/>
      <c r="Y106" s="85"/>
      <c r="AA106" s="37"/>
      <c r="AB106" s="38"/>
      <c r="AC106" s="39"/>
    </row>
    <row r="107" spans="1:29" x14ac:dyDescent="0.25">
      <c r="A107" s="51"/>
      <c r="B107" s="52"/>
      <c r="C107" s="53"/>
      <c r="D107" s="106"/>
      <c r="E107" s="81"/>
      <c r="F107" s="82"/>
      <c r="G107" s="83"/>
      <c r="H107" s="1"/>
      <c r="I107" s="84"/>
      <c r="J107" s="84"/>
      <c r="K107" s="3"/>
      <c r="L107" s="3"/>
      <c r="M107" s="4"/>
      <c r="N107" s="203"/>
      <c r="O107" s="85"/>
      <c r="P107" s="86"/>
      <c r="Q107" s="85"/>
      <c r="R107" s="31"/>
      <c r="S107" s="31"/>
      <c r="T107" s="87"/>
      <c r="U107" s="33"/>
      <c r="V107" s="88"/>
      <c r="X107" s="89"/>
      <c r="Y107" s="85"/>
      <c r="AA107" s="37"/>
      <c r="AB107" s="38"/>
      <c r="AC107" s="39"/>
    </row>
    <row r="108" spans="1:29" x14ac:dyDescent="0.25">
      <c r="A108" s="51"/>
      <c r="B108" s="52"/>
      <c r="C108" s="53"/>
      <c r="D108" s="106"/>
      <c r="E108" s="81"/>
      <c r="F108" s="82"/>
      <c r="G108" s="83"/>
      <c r="H108" s="1"/>
      <c r="I108" s="84"/>
      <c r="J108" s="84"/>
      <c r="K108" s="3"/>
      <c r="L108" s="3"/>
      <c r="M108" s="4"/>
      <c r="N108" s="203"/>
      <c r="O108" s="85"/>
      <c r="P108" s="86"/>
      <c r="Q108" s="85"/>
      <c r="R108" s="31"/>
      <c r="S108" s="31"/>
      <c r="T108" s="87"/>
      <c r="U108" s="33"/>
      <c r="V108" s="88"/>
      <c r="X108" s="89"/>
      <c r="Y108" s="85"/>
      <c r="AA108" s="37"/>
      <c r="AB108" s="38"/>
      <c r="AC108" s="39"/>
    </row>
    <row r="109" spans="1:29" x14ac:dyDescent="0.25">
      <c r="A109" s="51"/>
      <c r="B109" s="52"/>
      <c r="C109" s="53"/>
      <c r="D109" s="106"/>
      <c r="E109" s="81"/>
      <c r="F109" s="82"/>
      <c r="G109" s="83"/>
      <c r="H109" s="1"/>
      <c r="I109" s="84"/>
      <c r="J109" s="84"/>
      <c r="K109" s="3"/>
      <c r="L109" s="3"/>
      <c r="M109" s="4"/>
      <c r="N109" s="203"/>
      <c r="O109" s="85"/>
      <c r="P109" s="86"/>
      <c r="Q109" s="85"/>
      <c r="R109" s="31"/>
      <c r="S109" s="31"/>
      <c r="T109" s="87"/>
      <c r="U109" s="33"/>
      <c r="V109" s="88"/>
      <c r="X109" s="89"/>
      <c r="Y109" s="85"/>
      <c r="AA109" s="37"/>
      <c r="AB109" s="38"/>
      <c r="AC109" s="39"/>
    </row>
    <row r="110" spans="1:29" x14ac:dyDescent="0.25">
      <c r="A110" s="51"/>
      <c r="B110" s="52"/>
      <c r="C110" s="53"/>
      <c r="D110" s="106"/>
      <c r="E110" s="81"/>
      <c r="F110" s="82"/>
      <c r="G110" s="83"/>
      <c r="H110" s="1"/>
      <c r="I110" s="84"/>
      <c r="J110" s="84"/>
      <c r="K110" s="3"/>
      <c r="L110" s="3"/>
      <c r="M110" s="4"/>
      <c r="N110" s="203"/>
      <c r="O110" s="85"/>
      <c r="P110" s="86"/>
      <c r="Q110" s="85"/>
      <c r="R110" s="31"/>
      <c r="S110" s="31"/>
      <c r="T110" s="87"/>
      <c r="U110" s="33"/>
      <c r="V110" s="88"/>
      <c r="X110" s="89"/>
      <c r="Y110" s="85"/>
      <c r="AA110" s="37"/>
      <c r="AB110" s="38"/>
      <c r="AC110" s="39"/>
    </row>
    <row r="111" spans="1:29" x14ac:dyDescent="0.25">
      <c r="A111" s="51"/>
      <c r="B111" s="52"/>
      <c r="C111" s="53"/>
      <c r="D111" s="106"/>
      <c r="E111" s="81"/>
      <c r="F111" s="82"/>
      <c r="G111" s="83"/>
      <c r="H111" s="1"/>
      <c r="I111" s="84"/>
      <c r="J111" s="84"/>
      <c r="K111" s="3"/>
      <c r="L111" s="3"/>
      <c r="M111" s="4"/>
      <c r="N111" s="203"/>
      <c r="O111" s="85"/>
      <c r="P111" s="86"/>
      <c r="Q111" s="85"/>
      <c r="R111" s="31"/>
      <c r="S111" s="31"/>
      <c r="T111" s="87"/>
      <c r="U111" s="33"/>
      <c r="V111" s="88"/>
      <c r="X111" s="89"/>
      <c r="Y111" s="85"/>
      <c r="AA111" s="37"/>
      <c r="AB111" s="38"/>
      <c r="AC111" s="39"/>
    </row>
    <row r="112" spans="1:29" x14ac:dyDescent="0.25">
      <c r="A112" s="51"/>
      <c r="B112" s="52"/>
      <c r="C112" s="53"/>
      <c r="D112" s="106"/>
      <c r="E112" s="81"/>
      <c r="F112" s="82"/>
      <c r="G112" s="83"/>
      <c r="H112" s="1"/>
      <c r="I112" s="84"/>
      <c r="J112" s="84"/>
      <c r="K112" s="3"/>
      <c r="L112" s="3"/>
      <c r="M112" s="4"/>
      <c r="N112" s="203"/>
      <c r="O112" s="85"/>
      <c r="P112" s="86"/>
      <c r="Q112" s="85"/>
      <c r="R112" s="31"/>
      <c r="S112" s="31"/>
      <c r="T112" s="87"/>
      <c r="U112" s="33"/>
      <c r="V112" s="88"/>
      <c r="X112" s="89"/>
      <c r="Y112" s="85"/>
      <c r="AA112" s="37"/>
      <c r="AB112" s="38"/>
      <c r="AC112" s="39"/>
    </row>
    <row r="113" spans="1:33" x14ac:dyDescent="0.25">
      <c r="A113" s="51"/>
      <c r="B113" s="52"/>
      <c r="C113" s="53"/>
      <c r="D113" s="106"/>
      <c r="E113" s="81"/>
      <c r="F113" s="82"/>
      <c r="G113" s="83"/>
      <c r="H113" s="1"/>
      <c r="I113" s="84"/>
      <c r="J113" s="84"/>
      <c r="K113" s="3"/>
      <c r="L113" s="3"/>
      <c r="M113" s="4"/>
      <c r="N113" s="203"/>
      <c r="O113" s="85"/>
      <c r="P113" s="86"/>
      <c r="Q113" s="85"/>
      <c r="R113" s="31"/>
      <c r="S113" s="31"/>
      <c r="T113" s="87"/>
      <c r="U113" s="33"/>
      <c r="V113" s="88"/>
      <c r="X113" s="89"/>
      <c r="Y113" s="85"/>
      <c r="AA113" s="37"/>
      <c r="AB113" s="38"/>
      <c r="AC113" s="39"/>
    </row>
    <row r="114" spans="1:33" x14ac:dyDescent="0.25">
      <c r="A114" s="51"/>
      <c r="B114" s="52"/>
      <c r="C114" s="53"/>
      <c r="D114" s="106"/>
      <c r="E114" s="81"/>
      <c r="F114" s="82"/>
      <c r="G114" s="83"/>
      <c r="H114" s="1"/>
      <c r="I114" s="84"/>
      <c r="J114" s="84"/>
      <c r="K114" s="3"/>
      <c r="L114" s="3"/>
      <c r="M114" s="4"/>
      <c r="N114" s="203"/>
      <c r="O114" s="85"/>
      <c r="P114" s="86"/>
      <c r="Q114" s="85"/>
      <c r="R114" s="31"/>
      <c r="S114" s="31"/>
      <c r="T114" s="87"/>
      <c r="U114" s="33"/>
      <c r="V114" s="88"/>
      <c r="X114" s="89"/>
      <c r="Y114" s="85"/>
      <c r="AA114" s="37"/>
      <c r="AB114" s="38"/>
      <c r="AC114" s="39"/>
    </row>
    <row r="115" spans="1:33" x14ac:dyDescent="0.25">
      <c r="A115" s="51"/>
      <c r="B115" s="52"/>
      <c r="C115" s="53"/>
      <c r="D115" s="106"/>
      <c r="E115" s="81"/>
      <c r="F115" s="82"/>
      <c r="G115" s="83"/>
      <c r="H115" s="1"/>
      <c r="I115" s="90"/>
      <c r="J115" s="90"/>
      <c r="K115" s="3"/>
      <c r="L115" s="90"/>
      <c r="M115" s="91"/>
      <c r="N115" s="203"/>
      <c r="O115" s="91"/>
      <c r="P115" s="91"/>
      <c r="Q115" s="91"/>
      <c r="R115" s="92"/>
      <c r="S115" s="92"/>
      <c r="T115" s="92"/>
      <c r="U115" s="93"/>
      <c r="V115" s="93"/>
      <c r="W115" s="94"/>
      <c r="X115" s="95"/>
      <c r="Y115" s="91"/>
      <c r="Z115" s="94"/>
      <c r="AA115" s="94"/>
      <c r="AB115" s="96"/>
      <c r="AC115" s="96"/>
      <c r="AF115" s="94"/>
      <c r="AG115" s="94"/>
    </row>
    <row r="116" spans="1:33" x14ac:dyDescent="0.25">
      <c r="A116" s="51"/>
      <c r="B116" s="52"/>
      <c r="C116" s="53"/>
      <c r="D116" s="53"/>
      <c r="E116" s="81"/>
      <c r="F116" s="82"/>
      <c r="G116" s="83"/>
      <c r="H116" s="99"/>
      <c r="I116" s="98"/>
      <c r="J116" s="98"/>
      <c r="K116" s="98"/>
      <c r="L116" s="98"/>
      <c r="M116" s="100"/>
      <c r="N116" s="203"/>
      <c r="O116" s="100"/>
      <c r="P116" s="100"/>
      <c r="Q116" s="100"/>
      <c r="R116" s="101"/>
      <c r="S116" s="101"/>
      <c r="T116" s="101"/>
      <c r="U116" s="102"/>
      <c r="V116" s="102"/>
      <c r="W116" s="94"/>
      <c r="X116" s="103"/>
      <c r="Y116" s="100"/>
      <c r="Z116" s="94"/>
      <c r="AA116" s="94"/>
      <c r="AB116" s="96"/>
      <c r="AC116" s="96"/>
      <c r="AD116" s="97"/>
      <c r="AE116" s="97"/>
      <c r="AF116" s="94"/>
      <c r="AG116" s="94"/>
    </row>
    <row r="117" spans="1:33" x14ac:dyDescent="0.25">
      <c r="A117" s="51"/>
      <c r="B117" s="52"/>
      <c r="C117" s="53"/>
      <c r="D117" s="53"/>
      <c r="E117" s="81"/>
      <c r="F117" s="82"/>
      <c r="G117" s="83"/>
      <c r="H117" s="99"/>
      <c r="I117" s="98"/>
      <c r="J117" s="98"/>
      <c r="K117" s="98"/>
      <c r="L117" s="98"/>
      <c r="M117" s="100"/>
      <c r="N117" s="203"/>
      <c r="O117" s="100"/>
      <c r="P117" s="100"/>
      <c r="Q117" s="100"/>
      <c r="R117" s="101"/>
      <c r="S117" s="101"/>
      <c r="T117" s="101"/>
      <c r="U117" s="102"/>
      <c r="V117" s="102"/>
      <c r="W117" s="94"/>
      <c r="X117" s="103"/>
      <c r="Y117" s="100"/>
      <c r="Z117" s="94"/>
      <c r="AA117" s="94"/>
      <c r="AB117" s="96"/>
      <c r="AC117" s="96"/>
      <c r="AD117" s="97"/>
      <c r="AE117" s="97"/>
      <c r="AF117" s="94"/>
      <c r="AG117" s="94"/>
    </row>
    <row r="118" spans="1:33" x14ac:dyDescent="0.25">
      <c r="A118" s="51"/>
      <c r="B118" s="52"/>
      <c r="C118" s="53"/>
      <c r="D118" s="53"/>
      <c r="E118" s="81"/>
      <c r="F118" s="82"/>
      <c r="G118" s="83"/>
      <c r="H118" s="99"/>
      <c r="I118" s="98"/>
      <c r="J118" s="98"/>
      <c r="K118" s="98"/>
      <c r="L118" s="98"/>
      <c r="M118" s="100"/>
      <c r="N118" s="203"/>
      <c r="O118" s="100"/>
      <c r="P118" s="100"/>
      <c r="Q118" s="100"/>
      <c r="R118" s="101"/>
      <c r="S118" s="101"/>
      <c r="T118" s="101"/>
      <c r="U118" s="102"/>
      <c r="V118" s="102"/>
      <c r="W118" s="94"/>
      <c r="X118" s="103"/>
      <c r="Y118" s="100"/>
      <c r="Z118" s="94"/>
      <c r="AA118" s="94"/>
      <c r="AB118" s="96"/>
      <c r="AC118" s="96"/>
      <c r="AD118" s="97"/>
      <c r="AE118" s="97"/>
      <c r="AF118" s="94"/>
      <c r="AG118" s="94"/>
    </row>
    <row r="119" spans="1:33" x14ac:dyDescent="0.25">
      <c r="A119" s="51"/>
      <c r="B119" s="52"/>
      <c r="C119" s="53"/>
      <c r="D119" s="53"/>
      <c r="E119" s="81"/>
      <c r="F119" s="82"/>
      <c r="G119" s="83"/>
      <c r="H119" s="99"/>
      <c r="I119" s="98"/>
      <c r="J119" s="98"/>
      <c r="K119" s="98"/>
      <c r="L119" s="98"/>
      <c r="M119" s="100"/>
      <c r="N119" s="203"/>
      <c r="O119" s="100"/>
      <c r="P119" s="100"/>
      <c r="Q119" s="100"/>
      <c r="R119" s="101"/>
      <c r="S119" s="101"/>
      <c r="T119" s="101"/>
      <c r="U119" s="102"/>
      <c r="V119" s="102"/>
      <c r="W119" s="94"/>
      <c r="X119" s="103"/>
      <c r="Y119" s="100"/>
      <c r="Z119" s="94"/>
      <c r="AA119" s="94"/>
      <c r="AB119" s="96"/>
      <c r="AC119" s="96"/>
      <c r="AD119" s="97"/>
      <c r="AE119" s="97"/>
      <c r="AF119" s="94"/>
      <c r="AG119" s="94"/>
    </row>
    <row r="120" spans="1:33" x14ac:dyDescent="0.25">
      <c r="A120" s="51"/>
      <c r="B120" s="52"/>
      <c r="C120" s="53"/>
      <c r="D120" s="53"/>
      <c r="E120" s="81"/>
      <c r="F120" s="82"/>
      <c r="G120" s="83"/>
      <c r="H120" s="99"/>
      <c r="I120" s="98"/>
      <c r="J120" s="98"/>
      <c r="K120" s="98"/>
      <c r="L120" s="98"/>
      <c r="M120" s="100"/>
      <c r="N120" s="203"/>
      <c r="O120" s="100"/>
      <c r="P120" s="100"/>
      <c r="Q120" s="100"/>
      <c r="R120" s="101"/>
      <c r="S120" s="101"/>
      <c r="T120" s="101"/>
      <c r="U120" s="102"/>
      <c r="V120" s="102"/>
      <c r="W120" s="94"/>
      <c r="X120" s="103"/>
      <c r="Y120" s="100"/>
      <c r="Z120" s="94"/>
      <c r="AA120" s="94"/>
      <c r="AB120" s="96"/>
      <c r="AC120" s="96"/>
      <c r="AD120" s="97"/>
      <c r="AE120" s="97"/>
      <c r="AF120" s="94"/>
      <c r="AG120" s="94"/>
    </row>
    <row r="121" spans="1:33" x14ac:dyDescent="0.25">
      <c r="A121" s="51"/>
      <c r="B121" s="52"/>
      <c r="C121" s="53"/>
      <c r="D121" s="53"/>
      <c r="E121" s="81"/>
      <c r="F121" s="82"/>
      <c r="G121" s="83"/>
      <c r="H121" s="99"/>
      <c r="I121" s="98"/>
      <c r="J121" s="98"/>
      <c r="K121" s="98"/>
      <c r="L121" s="98"/>
      <c r="M121" s="100"/>
      <c r="N121" s="203"/>
      <c r="O121" s="100"/>
      <c r="P121" s="100"/>
      <c r="Q121" s="100"/>
      <c r="R121" s="101"/>
      <c r="S121" s="101"/>
      <c r="T121" s="101"/>
      <c r="U121" s="102"/>
      <c r="V121" s="102"/>
      <c r="W121" s="94"/>
      <c r="X121" s="103"/>
      <c r="Y121" s="100"/>
      <c r="Z121" s="94"/>
      <c r="AA121" s="94"/>
      <c r="AB121" s="96"/>
      <c r="AC121" s="96"/>
      <c r="AD121" s="97"/>
      <c r="AE121" s="97"/>
      <c r="AF121" s="94"/>
      <c r="AG121" s="94"/>
    </row>
    <row r="122" spans="1:33" x14ac:dyDescent="0.25">
      <c r="A122" s="51"/>
      <c r="B122" s="52"/>
      <c r="C122" s="53"/>
      <c r="D122" s="53"/>
      <c r="E122" s="81"/>
      <c r="F122" s="82"/>
      <c r="G122" s="83"/>
      <c r="H122" s="99"/>
      <c r="I122" s="98"/>
      <c r="J122" s="98"/>
      <c r="K122" s="98"/>
      <c r="L122" s="98"/>
      <c r="M122" s="100"/>
      <c r="N122" s="203"/>
      <c r="O122" s="100"/>
      <c r="P122" s="100"/>
      <c r="Q122" s="100"/>
      <c r="R122" s="101"/>
      <c r="S122" s="101"/>
      <c r="T122" s="101"/>
      <c r="U122" s="102"/>
      <c r="V122" s="102"/>
      <c r="W122" s="94"/>
      <c r="X122" s="103"/>
      <c r="Y122" s="100"/>
      <c r="Z122" s="94"/>
      <c r="AA122" s="94"/>
      <c r="AB122" s="96"/>
      <c r="AC122" s="96"/>
      <c r="AD122" s="97"/>
      <c r="AE122" s="97"/>
      <c r="AF122" s="94"/>
      <c r="AG122" s="94"/>
    </row>
    <row r="123" spans="1:33" x14ac:dyDescent="0.25">
      <c r="A123" s="51"/>
      <c r="B123" s="52"/>
      <c r="C123" s="53"/>
      <c r="D123" s="53"/>
      <c r="E123" s="81"/>
      <c r="F123" s="82"/>
      <c r="G123" s="83"/>
      <c r="H123" s="99"/>
      <c r="I123" s="98"/>
      <c r="J123" s="98"/>
      <c r="K123" s="98"/>
      <c r="L123" s="98"/>
      <c r="M123" s="100"/>
      <c r="N123" s="203"/>
      <c r="O123" s="100"/>
      <c r="P123" s="100"/>
      <c r="Q123" s="100"/>
      <c r="R123" s="101"/>
      <c r="S123" s="101"/>
      <c r="T123" s="101"/>
      <c r="U123" s="102"/>
      <c r="V123" s="102"/>
      <c r="W123" s="94"/>
      <c r="X123" s="103"/>
      <c r="Y123" s="100"/>
      <c r="Z123" s="94"/>
      <c r="AA123" s="94"/>
      <c r="AB123" s="96"/>
      <c r="AC123" s="96"/>
      <c r="AD123" s="97"/>
      <c r="AE123" s="97"/>
      <c r="AF123" s="94"/>
      <c r="AG123" s="94"/>
    </row>
    <row r="124" spans="1:33" x14ac:dyDescent="0.25">
      <c r="A124" s="51"/>
      <c r="B124" s="52"/>
      <c r="C124" s="53"/>
      <c r="D124" s="53"/>
      <c r="E124" s="81"/>
      <c r="F124" s="82"/>
      <c r="G124" s="83"/>
      <c r="H124" s="99"/>
      <c r="I124" s="98"/>
      <c r="J124" s="98"/>
      <c r="K124" s="98"/>
      <c r="L124" s="98"/>
      <c r="M124" s="100"/>
      <c r="N124" s="203"/>
      <c r="O124" s="100"/>
      <c r="P124" s="100"/>
      <c r="Q124" s="100"/>
      <c r="R124" s="101"/>
      <c r="S124" s="101"/>
      <c r="T124" s="101"/>
      <c r="U124" s="102"/>
      <c r="V124" s="102"/>
      <c r="W124" s="94"/>
      <c r="X124" s="103"/>
      <c r="Y124" s="100"/>
      <c r="Z124" s="94"/>
      <c r="AA124" s="94"/>
      <c r="AB124" s="96"/>
      <c r="AC124" s="96"/>
      <c r="AD124" s="97"/>
      <c r="AE124" s="97"/>
      <c r="AF124" s="94"/>
      <c r="AG124" s="94"/>
    </row>
    <row r="125" spans="1:33" x14ac:dyDescent="0.25">
      <c r="A125" s="51"/>
      <c r="B125" s="52"/>
      <c r="C125" s="53"/>
      <c r="D125" s="53"/>
      <c r="E125" s="81"/>
      <c r="F125" s="82"/>
      <c r="G125" s="83"/>
      <c r="H125" s="99"/>
      <c r="I125" s="98"/>
      <c r="J125" s="98"/>
      <c r="K125" s="98"/>
      <c r="L125" s="98"/>
      <c r="M125" s="100"/>
      <c r="N125" s="203"/>
      <c r="O125" s="100"/>
      <c r="P125" s="100"/>
      <c r="Q125" s="100"/>
      <c r="R125" s="101"/>
      <c r="S125" s="101"/>
      <c r="T125" s="101"/>
      <c r="U125" s="102"/>
      <c r="V125" s="102"/>
      <c r="W125" s="94"/>
      <c r="X125" s="103"/>
      <c r="Y125" s="100"/>
      <c r="Z125" s="94"/>
      <c r="AA125" s="94"/>
      <c r="AB125" s="96"/>
      <c r="AC125" s="96"/>
      <c r="AD125" s="97"/>
      <c r="AE125" s="97"/>
      <c r="AF125" s="94"/>
      <c r="AG125" s="94"/>
    </row>
    <row r="126" spans="1:33" x14ac:dyDescent="0.25">
      <c r="A126" s="51"/>
      <c r="B126" s="52"/>
      <c r="C126" s="53"/>
      <c r="D126" s="53"/>
      <c r="E126" s="81"/>
      <c r="F126" s="82"/>
      <c r="G126" s="83"/>
      <c r="H126" s="104"/>
      <c r="K126" s="105"/>
      <c r="N126" s="203"/>
      <c r="S126" s="101"/>
      <c r="T126" s="101"/>
    </row>
    <row r="127" spans="1:33" x14ac:dyDescent="0.25">
      <c r="A127" s="51"/>
      <c r="B127" s="52"/>
      <c r="C127" s="53"/>
      <c r="D127" s="53"/>
      <c r="E127" s="81"/>
      <c r="F127" s="82"/>
      <c r="G127" s="83"/>
      <c r="H127" s="104"/>
      <c r="K127" s="105"/>
      <c r="N127" s="203"/>
      <c r="S127" s="101"/>
      <c r="T127" s="101"/>
    </row>
    <row r="128" spans="1:33" x14ac:dyDescent="0.25">
      <c r="A128" s="51"/>
      <c r="B128" s="52"/>
      <c r="C128" s="53"/>
      <c r="D128" s="53"/>
      <c r="E128" s="81"/>
      <c r="F128" s="82"/>
      <c r="G128" s="83"/>
      <c r="H128" s="104"/>
      <c r="K128" s="105"/>
      <c r="N128" s="203"/>
      <c r="S128" s="101"/>
      <c r="T128" s="101"/>
    </row>
    <row r="129" spans="1:20" x14ac:dyDescent="0.25">
      <c r="A129" s="51"/>
      <c r="B129" s="52"/>
      <c r="C129" s="53"/>
      <c r="D129" s="53"/>
      <c r="E129" s="81"/>
      <c r="F129" s="82"/>
      <c r="G129" s="83"/>
      <c r="H129" s="104"/>
      <c r="K129" s="105"/>
      <c r="N129" s="203"/>
      <c r="S129" s="101"/>
      <c r="T129" s="101"/>
    </row>
    <row r="130" spans="1:20" x14ac:dyDescent="0.25">
      <c r="A130" s="51"/>
      <c r="B130" s="52"/>
      <c r="C130" s="53"/>
      <c r="D130" s="53"/>
      <c r="E130" s="81"/>
      <c r="F130" s="82"/>
      <c r="G130" s="83"/>
      <c r="H130" s="104"/>
      <c r="K130" s="105"/>
      <c r="N130" s="203"/>
      <c r="S130" s="101"/>
      <c r="T130" s="101"/>
    </row>
    <row r="131" spans="1:20" x14ac:dyDescent="0.25">
      <c r="A131" s="51"/>
      <c r="B131" s="52"/>
      <c r="C131" s="53"/>
      <c r="D131" s="53"/>
      <c r="E131" s="81"/>
      <c r="F131" s="82"/>
      <c r="G131" s="83"/>
      <c r="H131" s="104"/>
      <c r="K131" s="105"/>
      <c r="N131" s="203"/>
      <c r="S131" s="101"/>
      <c r="T131" s="101"/>
    </row>
    <row r="132" spans="1:20" x14ac:dyDescent="0.25">
      <c r="A132" s="51"/>
      <c r="B132" s="52"/>
      <c r="C132" s="53"/>
      <c r="D132" s="53"/>
      <c r="E132" s="81"/>
      <c r="F132" s="82"/>
      <c r="G132" s="83"/>
      <c r="H132" s="104"/>
      <c r="K132" s="105"/>
      <c r="N132" s="203"/>
      <c r="S132" s="101"/>
      <c r="T132" s="101"/>
    </row>
    <row r="133" spans="1:20" x14ac:dyDescent="0.25">
      <c r="A133" s="51"/>
      <c r="B133" s="52"/>
      <c r="C133" s="53"/>
      <c r="D133" s="53"/>
      <c r="E133" s="81"/>
      <c r="F133" s="82"/>
      <c r="G133" s="83"/>
      <c r="H133" s="104"/>
      <c r="K133" s="105"/>
      <c r="N133" s="203"/>
      <c r="S133" s="101"/>
      <c r="T133" s="101"/>
    </row>
    <row r="134" spans="1:20" x14ac:dyDescent="0.25">
      <c r="A134" s="51"/>
      <c r="B134" s="52"/>
      <c r="C134" s="53"/>
      <c r="D134" s="53"/>
      <c r="E134" s="81"/>
      <c r="F134" s="82"/>
      <c r="G134" s="83"/>
      <c r="H134" s="104"/>
      <c r="K134" s="105"/>
      <c r="N134" s="203"/>
      <c r="S134" s="101"/>
      <c r="T134" s="101"/>
    </row>
    <row r="135" spans="1:20" x14ac:dyDescent="0.25">
      <c r="A135" s="51"/>
      <c r="B135" s="52"/>
      <c r="C135" s="53"/>
      <c r="D135" s="53"/>
      <c r="E135" s="81"/>
      <c r="F135" s="82"/>
      <c r="G135" s="83"/>
      <c r="H135" s="104"/>
      <c r="K135" s="105"/>
      <c r="N135" s="203"/>
      <c r="S135" s="101"/>
      <c r="T135" s="101"/>
    </row>
    <row r="136" spans="1:20" x14ac:dyDescent="0.25">
      <c r="A136" s="51"/>
      <c r="B136" s="52"/>
      <c r="C136" s="53"/>
      <c r="D136" s="53"/>
      <c r="E136" s="81"/>
      <c r="F136" s="82"/>
      <c r="G136" s="83"/>
      <c r="H136" s="104"/>
      <c r="K136" s="105"/>
      <c r="N136" s="203"/>
      <c r="S136" s="101"/>
      <c r="T136" s="101"/>
    </row>
    <row r="137" spans="1:20" x14ac:dyDescent="0.25">
      <c r="A137" s="51"/>
      <c r="B137" s="52"/>
      <c r="C137" s="53"/>
      <c r="D137" s="53"/>
      <c r="E137" s="81"/>
      <c r="F137" s="82"/>
      <c r="G137" s="83"/>
      <c r="H137" s="104"/>
      <c r="K137" s="105"/>
      <c r="N137" s="203"/>
      <c r="S137" s="101"/>
      <c r="T137" s="101"/>
    </row>
    <row r="138" spans="1:20" x14ac:dyDescent="0.25">
      <c r="A138" s="51"/>
      <c r="B138" s="52"/>
      <c r="C138" s="53"/>
      <c r="D138" s="53"/>
      <c r="E138" s="81"/>
      <c r="F138" s="82"/>
      <c r="G138" s="83"/>
      <c r="H138" s="104"/>
      <c r="K138" s="105"/>
      <c r="N138" s="203"/>
      <c r="S138" s="101"/>
      <c r="T138" s="101"/>
    </row>
    <row r="139" spans="1:20" x14ac:dyDescent="0.25">
      <c r="A139" s="51"/>
      <c r="B139" s="52"/>
      <c r="C139" s="53"/>
      <c r="D139" s="53"/>
      <c r="E139" s="81"/>
      <c r="F139" s="82"/>
      <c r="G139" s="83"/>
      <c r="H139" s="104"/>
      <c r="K139" s="105"/>
      <c r="N139" s="203"/>
      <c r="S139" s="101"/>
      <c r="T139" s="101"/>
    </row>
    <row r="140" spans="1:20" x14ac:dyDescent="0.25">
      <c r="A140" s="51"/>
      <c r="B140" s="52"/>
      <c r="C140" s="53"/>
      <c r="D140" s="53"/>
      <c r="E140" s="81"/>
      <c r="F140" s="82"/>
      <c r="G140" s="83"/>
      <c r="H140" s="104"/>
      <c r="K140" s="105"/>
      <c r="N140" s="203"/>
      <c r="S140" s="101"/>
      <c r="T140" s="101"/>
    </row>
    <row r="141" spans="1:20" x14ac:dyDescent="0.25">
      <c r="A141" s="51"/>
      <c r="B141" s="52"/>
      <c r="C141" s="53"/>
      <c r="D141" s="53"/>
      <c r="E141" s="81"/>
      <c r="F141" s="82"/>
      <c r="G141" s="83"/>
      <c r="H141" s="104"/>
      <c r="K141" s="105"/>
      <c r="N141" s="203"/>
      <c r="S141" s="101"/>
      <c r="T141" s="101"/>
    </row>
    <row r="142" spans="1:20" x14ac:dyDescent="0.25">
      <c r="A142" s="51"/>
      <c r="B142" s="52"/>
      <c r="C142" s="53"/>
      <c r="D142" s="53"/>
      <c r="E142" s="81"/>
      <c r="F142" s="82"/>
      <c r="G142" s="83"/>
      <c r="H142" s="104"/>
      <c r="K142" s="105"/>
      <c r="N142" s="203"/>
      <c r="S142" s="101"/>
      <c r="T142" s="101"/>
    </row>
    <row r="143" spans="1:20" x14ac:dyDescent="0.25">
      <c r="A143" s="51"/>
      <c r="B143" s="52"/>
      <c r="C143" s="53"/>
      <c r="D143" s="53"/>
      <c r="E143" s="81"/>
      <c r="F143" s="82"/>
      <c r="G143" s="83"/>
      <c r="H143" s="104"/>
      <c r="K143" s="105"/>
      <c r="N143" s="203"/>
      <c r="S143" s="101"/>
      <c r="T143" s="101"/>
    </row>
    <row r="144" spans="1:20" x14ac:dyDescent="0.25">
      <c r="A144" s="51"/>
      <c r="B144" s="52"/>
      <c r="C144" s="53"/>
      <c r="D144" s="53"/>
      <c r="E144" s="81"/>
      <c r="F144" s="82"/>
      <c r="G144" s="83"/>
      <c r="H144" s="104"/>
      <c r="K144" s="105"/>
      <c r="N144" s="203"/>
      <c r="S144" s="101"/>
      <c r="T144" s="101"/>
    </row>
    <row r="145" spans="1:20" x14ac:dyDescent="0.25">
      <c r="A145" s="51"/>
      <c r="B145" s="52"/>
      <c r="C145" s="53"/>
      <c r="D145" s="53"/>
      <c r="E145" s="81"/>
      <c r="F145" s="82"/>
      <c r="G145" s="83"/>
      <c r="H145" s="104"/>
      <c r="K145" s="105"/>
      <c r="N145" s="203"/>
      <c r="S145" s="101"/>
      <c r="T145" s="101"/>
    </row>
    <row r="146" spans="1:20" x14ac:dyDescent="0.25">
      <c r="A146" s="51"/>
      <c r="B146" s="52"/>
      <c r="C146" s="53"/>
      <c r="D146" s="53"/>
      <c r="E146" s="81"/>
      <c r="F146" s="82"/>
      <c r="G146" s="83"/>
      <c r="H146" s="104"/>
      <c r="K146" s="105"/>
      <c r="N146" s="203"/>
      <c r="S146" s="101"/>
      <c r="T146" s="101"/>
    </row>
    <row r="147" spans="1:20" x14ac:dyDescent="0.25">
      <c r="A147" s="51"/>
      <c r="B147" s="52"/>
      <c r="C147" s="53"/>
      <c r="D147" s="53"/>
      <c r="E147" s="81"/>
      <c r="F147" s="82"/>
      <c r="G147" s="83"/>
      <c r="H147" s="104"/>
      <c r="K147" s="105"/>
      <c r="N147" s="203"/>
      <c r="S147" s="101"/>
      <c r="T147" s="101"/>
    </row>
    <row r="148" spans="1:20" x14ac:dyDescent="0.25">
      <c r="A148" s="51"/>
      <c r="B148" s="52"/>
      <c r="C148" s="53"/>
      <c r="D148" s="53"/>
      <c r="E148" s="81"/>
      <c r="F148" s="82"/>
      <c r="G148" s="83"/>
      <c r="H148" s="104"/>
      <c r="K148" s="105"/>
      <c r="N148" s="203"/>
    </row>
    <row r="149" spans="1:20" x14ac:dyDescent="0.25">
      <c r="A149" s="51"/>
      <c r="B149" s="52"/>
      <c r="C149" s="53"/>
      <c r="D149" s="53"/>
      <c r="E149" s="81"/>
      <c r="F149" s="82"/>
      <c r="G149" s="83"/>
      <c r="H149" s="104"/>
      <c r="I149" s="108"/>
      <c r="J149" s="108"/>
      <c r="K149" s="105"/>
      <c r="N149" s="203"/>
    </row>
    <row r="150" spans="1:20" x14ac:dyDescent="0.25">
      <c r="A150" s="51"/>
      <c r="B150" s="52"/>
      <c r="C150" s="53"/>
      <c r="D150" s="53"/>
      <c r="E150" s="81"/>
      <c r="F150" s="82"/>
      <c r="G150" s="83"/>
      <c r="H150" s="104"/>
      <c r="I150" s="108"/>
      <c r="J150" s="108"/>
      <c r="K150" s="105"/>
      <c r="N150" s="203"/>
    </row>
    <row r="151" spans="1:20" x14ac:dyDescent="0.25">
      <c r="A151" s="51"/>
      <c r="B151" s="52"/>
      <c r="C151" s="53"/>
      <c r="D151" s="53"/>
      <c r="E151" s="81"/>
      <c r="F151" s="82"/>
      <c r="G151" s="83"/>
      <c r="H151" s="104"/>
      <c r="I151" s="108"/>
      <c r="J151" s="108"/>
      <c r="K151" s="105"/>
      <c r="N151" s="203"/>
    </row>
    <row r="152" spans="1:20" x14ac:dyDescent="0.25">
      <c r="A152" s="51"/>
      <c r="B152" s="52"/>
      <c r="C152" s="53"/>
      <c r="D152" s="53"/>
      <c r="E152" s="81"/>
      <c r="F152" s="82"/>
      <c r="G152" s="83"/>
      <c r="H152" s="104"/>
      <c r="I152" s="108"/>
      <c r="J152" s="108"/>
      <c r="K152" s="105"/>
      <c r="N152" s="203"/>
    </row>
    <row r="153" spans="1:20" x14ac:dyDescent="0.25">
      <c r="A153" s="51"/>
      <c r="B153" s="52"/>
      <c r="C153" s="53"/>
      <c r="D153" s="53"/>
      <c r="E153" s="81"/>
      <c r="F153" s="82"/>
      <c r="G153" s="83"/>
      <c r="H153" s="104"/>
      <c r="I153" s="108"/>
      <c r="J153" s="108"/>
      <c r="K153" s="105"/>
      <c r="N153" s="203"/>
    </row>
    <row r="154" spans="1:20" x14ac:dyDescent="0.25">
      <c r="A154" s="51"/>
      <c r="B154" s="52"/>
      <c r="C154" s="53"/>
      <c r="D154" s="53"/>
      <c r="E154" s="81"/>
      <c r="F154" s="82"/>
      <c r="G154" s="83"/>
      <c r="H154" s="104"/>
      <c r="I154" s="108"/>
      <c r="J154" s="108"/>
      <c r="K154" s="105"/>
      <c r="N154" s="203"/>
    </row>
    <row r="155" spans="1:20" x14ac:dyDescent="0.25">
      <c r="A155" s="51"/>
      <c r="B155" s="52"/>
      <c r="C155" s="53"/>
      <c r="D155" s="53"/>
      <c r="E155" s="81"/>
      <c r="F155" s="82"/>
      <c r="G155" s="83"/>
      <c r="H155" s="104"/>
      <c r="I155" s="108"/>
      <c r="J155" s="108"/>
      <c r="K155" s="105"/>
    </row>
    <row r="156" spans="1:20" x14ac:dyDescent="0.25">
      <c r="A156" s="51"/>
      <c r="B156" s="52"/>
      <c r="C156" s="53"/>
      <c r="D156" s="53"/>
      <c r="E156" s="81"/>
      <c r="F156" s="82"/>
      <c r="G156" s="83"/>
      <c r="H156" s="104"/>
      <c r="I156" s="108"/>
      <c r="J156" s="108"/>
      <c r="K156" s="105"/>
    </row>
    <row r="157" spans="1:20" x14ac:dyDescent="0.25">
      <c r="A157" s="51"/>
      <c r="B157" s="52"/>
      <c r="C157" s="53"/>
      <c r="D157" s="53"/>
      <c r="E157" s="81"/>
      <c r="F157" s="82"/>
      <c r="G157" s="83"/>
      <c r="H157" s="104"/>
      <c r="I157" s="108"/>
      <c r="J157" s="108"/>
      <c r="K157" s="105"/>
    </row>
    <row r="158" spans="1:20" x14ac:dyDescent="0.25">
      <c r="A158" s="51"/>
      <c r="B158" s="52"/>
      <c r="C158" s="53"/>
      <c r="D158" s="53"/>
      <c r="E158" s="81"/>
      <c r="F158" s="82"/>
      <c r="G158" s="83"/>
      <c r="H158" s="104"/>
      <c r="I158" s="108"/>
      <c r="J158" s="108"/>
      <c r="K158" s="105"/>
    </row>
    <row r="159" spans="1:20" x14ac:dyDescent="0.25">
      <c r="A159" s="51"/>
      <c r="B159" s="52"/>
      <c r="C159" s="53"/>
      <c r="D159" s="53"/>
      <c r="E159" s="81"/>
      <c r="F159" s="82"/>
      <c r="G159" s="83"/>
      <c r="H159" s="104"/>
      <c r="I159" s="108"/>
      <c r="J159" s="108"/>
      <c r="K159" s="105"/>
    </row>
    <row r="160" spans="1:20" x14ac:dyDescent="0.25">
      <c r="A160" s="51"/>
      <c r="B160" s="52"/>
      <c r="C160" s="53"/>
      <c r="D160" s="53"/>
      <c r="E160" s="81"/>
      <c r="F160" s="82"/>
      <c r="G160" s="83"/>
      <c r="H160" s="104"/>
      <c r="I160" s="108"/>
      <c r="J160" s="108"/>
      <c r="K160" s="105"/>
    </row>
    <row r="161" spans="1:11" x14ac:dyDescent="0.25">
      <c r="A161" s="51"/>
      <c r="B161" s="52"/>
      <c r="C161" s="53"/>
      <c r="D161" s="53"/>
      <c r="E161" s="81"/>
      <c r="F161" s="82"/>
      <c r="G161" s="83"/>
      <c r="H161" s="104"/>
      <c r="I161" s="108"/>
      <c r="J161" s="108"/>
      <c r="K161" s="105"/>
    </row>
    <row r="162" spans="1:11" x14ac:dyDescent="0.25">
      <c r="A162" s="51"/>
      <c r="B162" s="52"/>
      <c r="C162" s="53"/>
      <c r="D162" s="53"/>
      <c r="E162" s="81"/>
      <c r="F162" s="82"/>
      <c r="G162" s="83"/>
      <c r="H162" s="104"/>
      <c r="I162" s="108"/>
      <c r="J162" s="108"/>
      <c r="K162" s="105"/>
    </row>
    <row r="163" spans="1:11" x14ac:dyDescent="0.25">
      <c r="A163" s="51"/>
      <c r="B163" s="52"/>
      <c r="C163" s="53"/>
      <c r="D163" s="53"/>
      <c r="E163" s="81"/>
      <c r="F163" s="82"/>
      <c r="G163" s="83"/>
      <c r="H163" s="104"/>
      <c r="I163" s="108"/>
      <c r="J163" s="108"/>
      <c r="K163" s="105"/>
    </row>
    <row r="164" spans="1:11" x14ac:dyDescent="0.25">
      <c r="A164" s="51"/>
      <c r="B164" s="52"/>
      <c r="C164" s="53"/>
      <c r="D164" s="53"/>
      <c r="E164" s="81"/>
      <c r="F164" s="82"/>
      <c r="G164" s="83"/>
      <c r="H164" s="104"/>
      <c r="I164" s="108"/>
      <c r="J164" s="108"/>
      <c r="K164" s="105"/>
    </row>
    <row r="165" spans="1:11" x14ac:dyDescent="0.25">
      <c r="A165" s="51"/>
      <c r="B165" s="52"/>
      <c r="C165" s="53"/>
      <c r="D165" s="53"/>
      <c r="E165" s="81"/>
      <c r="F165" s="82"/>
      <c r="G165" s="83"/>
      <c r="H165" s="104"/>
      <c r="I165" s="108"/>
      <c r="J165" s="108"/>
      <c r="K165" s="105"/>
    </row>
    <row r="166" spans="1:11" x14ac:dyDescent="0.25">
      <c r="A166" s="51"/>
      <c r="B166" s="52"/>
      <c r="C166" s="53"/>
      <c r="D166" s="53"/>
      <c r="E166" s="81"/>
      <c r="F166" s="82"/>
      <c r="G166" s="83"/>
      <c r="H166" s="104"/>
      <c r="I166" s="108"/>
      <c r="J166" s="108"/>
      <c r="K166" s="105"/>
    </row>
    <row r="167" spans="1:11" x14ac:dyDescent="0.25">
      <c r="A167" s="51"/>
      <c r="B167" s="52"/>
      <c r="C167" s="53"/>
      <c r="D167" s="53"/>
      <c r="E167" s="81"/>
      <c r="F167" s="82"/>
      <c r="G167" s="83"/>
      <c r="H167" s="104"/>
      <c r="I167" s="108"/>
      <c r="J167" s="108"/>
      <c r="K167" s="105"/>
    </row>
    <row r="168" spans="1:11" x14ac:dyDescent="0.25">
      <c r="A168" s="51"/>
      <c r="B168" s="52"/>
      <c r="C168" s="53"/>
      <c r="D168" s="53"/>
      <c r="E168" s="81"/>
      <c r="F168" s="82"/>
      <c r="G168" s="83"/>
      <c r="H168" s="104"/>
      <c r="I168" s="108"/>
      <c r="J168" s="108"/>
      <c r="K168" s="105"/>
    </row>
    <row r="169" spans="1:11" x14ac:dyDescent="0.25">
      <c r="A169" s="51"/>
      <c r="B169" s="52"/>
      <c r="C169" s="53"/>
      <c r="D169" s="53"/>
      <c r="E169" s="81"/>
      <c r="F169" s="82"/>
      <c r="G169" s="83"/>
      <c r="H169" s="104"/>
      <c r="I169" s="108"/>
      <c r="J169" s="108"/>
      <c r="K169" s="105"/>
    </row>
    <row r="170" spans="1:11" x14ac:dyDescent="0.25">
      <c r="A170" s="51"/>
      <c r="B170" s="52"/>
      <c r="C170" s="53"/>
      <c r="D170" s="53"/>
      <c r="E170" s="81"/>
      <c r="F170" s="82"/>
      <c r="G170" s="83"/>
      <c r="H170" s="104"/>
      <c r="I170" s="108"/>
      <c r="J170" s="108"/>
      <c r="K170" s="105"/>
    </row>
    <row r="171" spans="1:11" x14ac:dyDescent="0.25">
      <c r="A171" s="51"/>
      <c r="B171" s="52"/>
      <c r="C171" s="53"/>
      <c r="D171" s="53"/>
      <c r="E171" s="81"/>
      <c r="F171" s="82"/>
      <c r="G171" s="83"/>
      <c r="H171" s="104"/>
      <c r="I171" s="108"/>
      <c r="J171" s="108"/>
      <c r="K171" s="105"/>
    </row>
    <row r="172" spans="1:11" x14ac:dyDescent="0.25">
      <c r="A172" s="51"/>
      <c r="B172" s="52"/>
      <c r="C172" s="53"/>
      <c r="D172" s="53"/>
      <c r="E172" s="81"/>
      <c r="F172" s="82"/>
      <c r="G172" s="83"/>
      <c r="H172" s="104"/>
      <c r="I172" s="108"/>
      <c r="J172" s="108"/>
      <c r="K172" s="105"/>
    </row>
    <row r="173" spans="1:11" x14ac:dyDescent="0.25">
      <c r="A173" s="51"/>
      <c r="B173" s="52"/>
      <c r="C173" s="53"/>
      <c r="D173" s="53"/>
      <c r="E173" s="81"/>
      <c r="F173" s="82"/>
      <c r="G173" s="83"/>
      <c r="H173" s="104"/>
      <c r="I173" s="108"/>
      <c r="J173" s="108"/>
      <c r="K173" s="105"/>
    </row>
    <row r="174" spans="1:11" x14ac:dyDescent="0.25">
      <c r="A174" s="51"/>
      <c r="B174" s="52"/>
      <c r="C174" s="53" t="s">
        <v>224</v>
      </c>
      <c r="D174" s="53"/>
      <c r="E174" s="81"/>
      <c r="F174" s="82"/>
      <c r="G174" s="83"/>
      <c r="H174" s="104"/>
      <c r="I174" s="108"/>
      <c r="J174" s="108"/>
      <c r="K174" s="105"/>
    </row>
    <row r="175" spans="1:11" x14ac:dyDescent="0.25">
      <c r="A175" s="51"/>
      <c r="B175" s="52"/>
      <c r="C175" s="53"/>
      <c r="D175" s="53"/>
      <c r="E175" s="81"/>
      <c r="F175" s="82"/>
      <c r="G175" s="83"/>
      <c r="H175" s="104"/>
      <c r="I175" s="108"/>
      <c r="J175" s="108"/>
      <c r="K175" s="105"/>
    </row>
    <row r="176" spans="1:11" x14ac:dyDescent="0.25">
      <c r="A176" s="51"/>
      <c r="B176" s="52"/>
      <c r="C176" s="53"/>
      <c r="D176" s="53"/>
      <c r="E176" s="81"/>
      <c r="F176" s="82"/>
      <c r="G176" s="83"/>
      <c r="H176" s="104"/>
      <c r="I176" s="108"/>
      <c r="J176" s="108"/>
      <c r="K176" s="105"/>
    </row>
    <row r="177" spans="1:11" x14ac:dyDescent="0.25">
      <c r="A177" s="51"/>
      <c r="B177" s="52"/>
      <c r="C177" s="53"/>
      <c r="D177" s="53"/>
      <c r="E177" s="81"/>
      <c r="F177" s="82"/>
      <c r="G177" s="83"/>
      <c r="H177" s="104"/>
      <c r="I177" s="108"/>
      <c r="J177" s="108"/>
      <c r="K177" s="105"/>
    </row>
    <row r="178" spans="1:11" x14ac:dyDescent="0.25">
      <c r="A178" s="51"/>
      <c r="B178" s="52"/>
      <c r="C178" s="53"/>
      <c r="D178" s="53"/>
      <c r="E178" s="81"/>
      <c r="F178" s="82"/>
      <c r="G178" s="83"/>
      <c r="H178" s="104"/>
      <c r="I178" s="108"/>
      <c r="J178" s="108"/>
      <c r="K178" s="105"/>
    </row>
    <row r="179" spans="1:11" x14ac:dyDescent="0.25">
      <c r="A179" s="51"/>
      <c r="B179" s="52"/>
      <c r="C179" s="53"/>
      <c r="D179" s="53"/>
      <c r="E179" s="81"/>
      <c r="F179" s="82"/>
      <c r="G179" s="83"/>
      <c r="H179" s="104"/>
      <c r="I179" s="108"/>
      <c r="J179" s="108"/>
      <c r="K179" s="105"/>
    </row>
    <row r="180" spans="1:11" x14ac:dyDescent="0.25">
      <c r="A180" s="51"/>
      <c r="B180" s="52"/>
      <c r="C180" s="53"/>
      <c r="D180" s="53"/>
      <c r="E180" s="81"/>
      <c r="F180" s="82"/>
      <c r="G180" s="83"/>
      <c r="H180" s="104"/>
      <c r="I180" s="108"/>
      <c r="J180" s="108"/>
      <c r="K180" s="105"/>
    </row>
    <row r="181" spans="1:11" x14ac:dyDescent="0.25">
      <c r="A181" s="51"/>
      <c r="B181" s="52"/>
      <c r="C181" s="53"/>
      <c r="D181" s="53"/>
      <c r="E181" s="81"/>
      <c r="F181" s="82"/>
      <c r="G181" s="83"/>
      <c r="H181" s="104"/>
      <c r="I181" s="108"/>
      <c r="J181" s="108"/>
      <c r="K181" s="105"/>
    </row>
    <row r="182" spans="1:11" x14ac:dyDescent="0.25">
      <c r="A182" s="51"/>
      <c r="B182" s="52"/>
      <c r="C182" s="53"/>
      <c r="D182" s="53"/>
      <c r="E182" s="81"/>
      <c r="F182" s="82"/>
      <c r="G182" s="83"/>
      <c r="H182" s="104"/>
      <c r="I182" s="108"/>
      <c r="J182" s="108"/>
      <c r="K182" s="105"/>
    </row>
    <row r="183" spans="1:11" x14ac:dyDescent="0.25">
      <c r="A183" s="51"/>
      <c r="B183" s="52"/>
      <c r="C183" s="53"/>
      <c r="D183" s="53"/>
      <c r="E183" s="81"/>
      <c r="F183" s="82"/>
      <c r="G183" s="83"/>
      <c r="H183" s="104"/>
      <c r="I183" s="108"/>
      <c r="J183" s="108"/>
      <c r="K183" s="105"/>
    </row>
    <row r="184" spans="1:11" x14ac:dyDescent="0.25">
      <c r="A184" s="51"/>
      <c r="B184" s="52"/>
      <c r="C184" s="53"/>
      <c r="D184" s="53"/>
      <c r="E184" s="81"/>
      <c r="F184" s="82"/>
      <c r="G184" s="83"/>
      <c r="H184" s="104"/>
      <c r="I184" s="108"/>
      <c r="J184" s="108"/>
      <c r="K184" s="105"/>
    </row>
    <row r="185" spans="1:11" x14ac:dyDescent="0.25">
      <c r="A185" s="51"/>
      <c r="B185" s="52"/>
      <c r="C185" s="53"/>
      <c r="D185" s="53"/>
      <c r="E185" s="81"/>
      <c r="F185" s="82"/>
      <c r="G185" s="83"/>
      <c r="H185" s="104"/>
      <c r="I185" s="108"/>
      <c r="J185" s="108"/>
      <c r="K185" s="105"/>
    </row>
    <row r="186" spans="1:11" x14ac:dyDescent="0.25">
      <c r="A186" s="51"/>
      <c r="B186" s="52"/>
      <c r="C186" s="53"/>
      <c r="D186" s="53"/>
      <c r="E186" s="81"/>
      <c r="F186" s="82"/>
      <c r="G186" s="83"/>
      <c r="H186" s="104"/>
      <c r="I186" s="108"/>
      <c r="J186" s="108"/>
      <c r="K186" s="105"/>
    </row>
    <row r="187" spans="1:11" x14ac:dyDescent="0.25">
      <c r="A187" s="51"/>
      <c r="B187" s="52"/>
      <c r="C187" s="53"/>
      <c r="D187" s="53"/>
      <c r="E187" s="81"/>
      <c r="F187" s="82"/>
      <c r="G187" s="83"/>
      <c r="H187" s="104"/>
      <c r="I187" s="108"/>
      <c r="J187" s="108"/>
      <c r="K187" s="105"/>
    </row>
    <row r="188" spans="1:11" x14ac:dyDescent="0.25">
      <c r="A188" s="51"/>
      <c r="B188" s="52"/>
      <c r="C188" s="53"/>
      <c r="D188" s="53"/>
      <c r="E188" s="81"/>
      <c r="F188" s="82"/>
      <c r="G188" s="83"/>
      <c r="H188" s="104"/>
      <c r="I188" s="108"/>
      <c r="J188" s="108"/>
      <c r="K188" s="105"/>
    </row>
    <row r="189" spans="1:11" x14ac:dyDescent="0.25">
      <c r="A189" s="51"/>
      <c r="B189" s="52"/>
      <c r="C189" s="53"/>
      <c r="D189" s="53"/>
      <c r="E189" s="81"/>
      <c r="F189" s="82"/>
      <c r="G189" s="83"/>
      <c r="H189" s="104"/>
      <c r="I189" s="108"/>
      <c r="J189" s="108"/>
      <c r="K189" s="105"/>
    </row>
    <row r="190" spans="1:11" x14ac:dyDescent="0.25">
      <c r="A190" s="51"/>
      <c r="B190" s="52"/>
      <c r="C190" s="53"/>
      <c r="D190" s="53"/>
      <c r="E190" s="81"/>
      <c r="F190" s="82"/>
      <c r="G190" s="83"/>
      <c r="H190" s="104"/>
      <c r="I190" s="108"/>
      <c r="J190" s="108"/>
      <c r="K190" s="105"/>
    </row>
    <row r="191" spans="1:11" x14ac:dyDescent="0.25">
      <c r="A191" s="51"/>
      <c r="B191" s="52"/>
      <c r="C191" s="53"/>
      <c r="D191" s="53"/>
      <c r="E191" s="81"/>
      <c r="F191" s="82"/>
      <c r="G191" s="83"/>
      <c r="H191" s="104"/>
      <c r="I191" s="108"/>
      <c r="J191" s="108"/>
      <c r="K191" s="105"/>
    </row>
    <row r="192" spans="1:11" x14ac:dyDescent="0.25">
      <c r="A192" s="51"/>
      <c r="B192" s="52"/>
      <c r="C192" s="53"/>
      <c r="D192" s="53"/>
      <c r="E192" s="81"/>
      <c r="F192" s="82"/>
      <c r="G192" s="83"/>
      <c r="H192" s="104"/>
      <c r="I192" s="108"/>
      <c r="J192" s="108"/>
      <c r="K192" s="105"/>
    </row>
    <row r="193" spans="1:11" x14ac:dyDescent="0.25">
      <c r="A193" s="51"/>
      <c r="B193" s="52"/>
      <c r="C193" s="53"/>
      <c r="D193" s="53"/>
      <c r="E193" s="81"/>
      <c r="F193" s="82"/>
      <c r="G193" s="83"/>
      <c r="H193" s="104"/>
      <c r="I193" s="108"/>
      <c r="J193" s="108"/>
      <c r="K193" s="105"/>
    </row>
    <row r="194" spans="1:11" x14ac:dyDescent="0.25">
      <c r="A194" s="51"/>
      <c r="B194" s="52"/>
      <c r="C194" s="53"/>
      <c r="D194" s="53"/>
      <c r="E194" s="81"/>
      <c r="F194" s="82"/>
      <c r="G194" s="83"/>
      <c r="H194" s="104"/>
      <c r="I194" s="108"/>
      <c r="J194" s="108"/>
      <c r="K194" s="105"/>
    </row>
    <row r="195" spans="1:11" x14ac:dyDescent="0.25">
      <c r="A195" s="51"/>
      <c r="B195" s="52"/>
      <c r="C195" s="53"/>
      <c r="D195" s="53"/>
      <c r="E195" s="81"/>
      <c r="F195" s="82"/>
      <c r="G195" s="83"/>
      <c r="H195" s="104"/>
      <c r="I195" s="108"/>
      <c r="J195" s="108"/>
      <c r="K195" s="105"/>
    </row>
    <row r="196" spans="1:11" x14ac:dyDescent="0.25">
      <c r="A196" s="51"/>
      <c r="B196" s="52"/>
      <c r="C196" s="53"/>
      <c r="D196" s="53"/>
      <c r="E196" s="81"/>
      <c r="F196" s="82"/>
      <c r="G196" s="83"/>
      <c r="H196" s="104"/>
      <c r="I196" s="108"/>
      <c r="J196" s="108"/>
      <c r="K196" s="105"/>
    </row>
    <row r="197" spans="1:11" x14ac:dyDescent="0.25">
      <c r="A197" s="51"/>
      <c r="B197" s="52"/>
      <c r="C197" s="53"/>
      <c r="D197" s="53"/>
      <c r="E197" s="81"/>
      <c r="F197" s="82"/>
      <c r="G197" s="83"/>
      <c r="H197" s="104"/>
      <c r="I197" s="108"/>
      <c r="J197" s="108"/>
      <c r="K197" s="105"/>
    </row>
    <row r="1047830" spans="10:10" x14ac:dyDescent="0.25">
      <c r="J1047830" s="49"/>
    </row>
  </sheetData>
  <sheetProtection formatCells="0" formatColumns="0" sort="0" autoFilter="0" pivotTables="0"/>
  <autoFilter ref="A1:AG154" xr:uid="{3D167799-EF35-4FF1-A402-A089B8150F66}"/>
  <phoneticPr fontId="11" type="noConversion"/>
  <conditionalFormatting sqref="A1">
    <cfRule type="duplicateValues" dxfId="24" priority="317"/>
    <cfRule type="duplicateValues" dxfId="23" priority="318"/>
    <cfRule type="duplicateValues" dxfId="22" priority="319"/>
  </conditionalFormatting>
  <conditionalFormatting sqref="A1:A1048576">
    <cfRule type="duplicateValues" dxfId="21" priority="7"/>
  </conditionalFormatting>
  <conditionalFormatting sqref="A2:A197">
    <cfRule type="duplicateValues" dxfId="20" priority="718"/>
    <cfRule type="duplicateValues" dxfId="19" priority="719"/>
    <cfRule type="duplicateValues" dxfId="18" priority="720"/>
  </conditionalFormatting>
  <conditionalFormatting sqref="A10:A1048576">
    <cfRule type="duplicateValues" dxfId="17" priority="209"/>
  </conditionalFormatting>
  <conditionalFormatting sqref="A1:O1 A2:V19 X2:Y114 L19:V29 H20:M114 O20:V114 N20:N154 A20:G197 K112:K115 H113:H115">
    <cfRule type="containsBlanks" priority="37">
      <formula>LEN(TRIM(A1))=0</formula>
    </cfRule>
  </conditionalFormatting>
  <conditionalFormatting sqref="J1047830:J1048576">
    <cfRule type="containsBlanks" priority="3">
      <formula>LEN(TRIM(J1047830))=0</formula>
    </cfRule>
  </conditionalFormatting>
  <conditionalFormatting sqref="K1:K115">
    <cfRule type="containsText" dxfId="16" priority="17" operator="containsText" text="Peque">
      <formula>NOT(ISERROR(SEARCH("Peque",K1)))</formula>
    </cfRule>
  </conditionalFormatting>
  <conditionalFormatting sqref="R1:W1">
    <cfRule type="containsBlanks" priority="36">
      <formula>LEN(TRIM(R1))=0</formula>
    </cfRule>
  </conditionalFormatting>
  <printOptions horizontalCentered="1"/>
  <pageMargins left="0.25" right="0.25" top="0.75" bottom="0.75" header="0.3" footer="0.3"/>
  <pageSetup paperSize="9" fitToWidth="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C317-79FD-4411-8611-D6A1D46D8155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8054-E615-4563-B708-F5F17B8BE55E}">
  <sheetPr codeName="Hoja4">
    <pageSetUpPr fitToPage="1"/>
  </sheetPr>
  <dimension ref="B1:P29"/>
  <sheetViews>
    <sheetView tabSelected="1" topLeftCell="A2" zoomScaleNormal="100" workbookViewId="0">
      <selection activeCell="H13" sqref="H13:H18"/>
    </sheetView>
  </sheetViews>
  <sheetFormatPr baseColWidth="10" defaultColWidth="11.42578125" defaultRowHeight="15" x14ac:dyDescent="0.25"/>
  <cols>
    <col min="1" max="1" width="1.42578125" customWidth="1"/>
    <col min="2" max="2" width="1.7109375" customWidth="1"/>
    <col min="3" max="3" width="12.85546875" customWidth="1"/>
    <col min="4" max="4" width="14.5703125" customWidth="1"/>
    <col min="5" max="5" width="8.140625" customWidth="1"/>
    <col min="6" max="6" width="66.7109375" customWidth="1"/>
    <col min="7" max="7" width="19.85546875" customWidth="1"/>
    <col min="8" max="8" width="15.140625" customWidth="1"/>
    <col min="9" max="9" width="23.7109375" customWidth="1"/>
    <col min="10" max="10" width="4.85546875" customWidth="1"/>
    <col min="11" max="11" width="4.7109375" customWidth="1"/>
    <col min="12" max="12" width="11.28515625" hidden="1" customWidth="1"/>
    <col min="13" max="13" width="0" hidden="1" customWidth="1"/>
    <col min="16" max="16" width="40.28515625" customWidth="1"/>
  </cols>
  <sheetData>
    <row r="1" spans="2:16" ht="21" customHeight="1" x14ac:dyDescent="0.25">
      <c r="B1" s="170"/>
      <c r="C1" s="170"/>
      <c r="D1" s="170"/>
      <c r="E1" s="170"/>
      <c r="F1" s="151">
        <f>+_xlfn.XLOOKUP('Asesora Politicas'!C4, Productos!A:A, Productos!AE:AE, "VER", 0, -1)</f>
        <v>46570</v>
      </c>
      <c r="G1" s="152">
        <v>0.05</v>
      </c>
      <c r="H1" s="170"/>
      <c r="I1" s="170"/>
      <c r="J1" s="170"/>
      <c r="K1" s="171"/>
      <c r="L1" s="124" t="s">
        <v>225</v>
      </c>
      <c r="M1" s="162"/>
      <c r="N1" s="163"/>
      <c r="O1" s="163"/>
      <c r="P1" s="163"/>
    </row>
    <row r="2" spans="2:16" ht="30" customHeight="1" thickBot="1" x14ac:dyDescent="0.3">
      <c r="B2" s="171"/>
      <c r="C2" s="171"/>
      <c r="D2" s="171"/>
      <c r="E2" s="171"/>
      <c r="F2" s="212" t="s">
        <v>226</v>
      </c>
      <c r="G2" s="212"/>
      <c r="H2" s="212"/>
      <c r="I2" s="171"/>
      <c r="J2" s="171"/>
      <c r="K2" s="171"/>
      <c r="L2" s="124" t="str">
        <f>+_xlfn.XLOOKUP(C4, Productos!A:A, Productos!K:K, "Articulo no encontrado", 0, -1)</f>
        <v>Sin Int</v>
      </c>
      <c r="M2" s="162"/>
      <c r="N2" s="163"/>
      <c r="O2" s="164"/>
      <c r="P2" s="163"/>
    </row>
    <row r="3" spans="2:16" ht="15.75" thickBot="1" x14ac:dyDescent="0.3">
      <c r="B3" s="171"/>
      <c r="C3" s="171"/>
      <c r="D3" s="159" t="s">
        <v>227</v>
      </c>
      <c r="E3" s="171"/>
      <c r="F3" s="172"/>
      <c r="G3" s="173" t="s">
        <v>228</v>
      </c>
      <c r="H3" s="116" t="s">
        <v>229</v>
      </c>
      <c r="I3" s="171"/>
      <c r="J3" s="171"/>
      <c r="K3" s="171"/>
      <c r="L3" s="124" t="s">
        <v>230</v>
      </c>
      <c r="M3" s="162"/>
      <c r="N3" s="163"/>
      <c r="O3" s="164"/>
      <c r="P3" s="163"/>
    </row>
    <row r="4" spans="2:16" ht="24.95" customHeight="1" x14ac:dyDescent="0.25">
      <c r="B4" s="171"/>
      <c r="C4" s="141">
        <v>1000124</v>
      </c>
      <c r="D4" s="174"/>
      <c r="E4" s="125" t="s">
        <v>231</v>
      </c>
      <c r="F4" s="126" t="str">
        <f>+_xlfn.XLOOKUP(C4, Productos!A:A, Productos!B:B)</f>
        <v>Taladro Atornillador 300W - LUSQTOFF (TAL300-8)</v>
      </c>
      <c r="G4" s="154">
        <f ca="1">SUMIFS(Productos!G:G, Productos!A:A, $C$4, Productos!AD:AD, "&lt;" &amp; TODAY()+1, Productos!AE:AE, "&gt;" &amp; TODAY()-1)</f>
        <v>67349</v>
      </c>
      <c r="H4" s="144">
        <f ca="1">+IF(IFERROR(SEARCH("Proveed", F8, 1), 0)=0, IF(_xlfn.XLOOKUP($C$4, Productos!A:A, Productos!I:I, 0, 0, -1)=0, "Sin descuentos Afiliado", _xlfn.XLOOKUP($C$4, Productos!A:A, Productos!G:G, 0, 0, -1)*(1-_xlfn.XLOOKUP($C$4, Productos!A:A, Productos!I:I, 0, 0, -1))),  "Puede llevar más tiempo más beneficio")</f>
        <v>63981.549999999996</v>
      </c>
      <c r="I4" s="171"/>
      <c r="J4" s="171"/>
      <c r="K4" s="171"/>
      <c r="L4" s="109">
        <f>+_xlfn.XLOOKUP(C4, Productos!A:A, Productos!L:L, 0, 0, -1)</f>
        <v>12</v>
      </c>
      <c r="M4" s="109"/>
      <c r="N4" s="163"/>
      <c r="O4" s="164"/>
      <c r="P4" s="163"/>
    </row>
    <row r="5" spans="2:16" ht="15.75" thickBot="1" x14ac:dyDescent="0.3">
      <c r="B5" s="171"/>
      <c r="C5" s="150" t="str">
        <f>CONCATENATE("Ubicación Hoja Producto, Celda A", MATCH(C4,Productos!A:A,0))</f>
        <v>Ubicación Hoja Producto, Celda A44</v>
      </c>
      <c r="D5" s="175"/>
      <c r="E5" s="175"/>
      <c r="F5" s="175"/>
      <c r="G5" s="175"/>
      <c r="H5" s="176"/>
      <c r="I5" s="171"/>
      <c r="J5" s="171"/>
      <c r="K5" s="171"/>
      <c r="L5" s="171"/>
      <c r="M5" s="171"/>
      <c r="N5" s="177"/>
      <c r="O5" s="177"/>
      <c r="P5" s="177"/>
    </row>
    <row r="6" spans="2:16" ht="6" customHeight="1" x14ac:dyDescent="0.25">
      <c r="B6" s="171"/>
      <c r="C6" s="142"/>
      <c r="D6" s="171"/>
      <c r="E6" s="178"/>
      <c r="F6" s="178"/>
      <c r="G6" s="178"/>
      <c r="H6" s="179"/>
      <c r="I6" s="171"/>
      <c r="J6" s="171"/>
      <c r="K6" s="171"/>
      <c r="L6" s="171"/>
      <c r="M6" s="171"/>
      <c r="N6" s="177"/>
      <c r="O6" s="177"/>
      <c r="P6" s="177"/>
    </row>
    <row r="7" spans="2:16" ht="21.95" customHeight="1" thickBot="1" x14ac:dyDescent="0.3">
      <c r="B7" s="171"/>
      <c r="C7" s="180"/>
      <c r="D7" s="113"/>
      <c r="E7" s="113"/>
      <c r="F7" s="127" t="s">
        <v>232</v>
      </c>
      <c r="G7" s="117" t="s">
        <v>233</v>
      </c>
      <c r="H7" s="145"/>
      <c r="I7" s="171"/>
      <c r="J7" s="171"/>
      <c r="K7" s="171"/>
      <c r="L7" s="171"/>
      <c r="M7" s="171"/>
      <c r="N7" s="177"/>
      <c r="O7" s="177"/>
      <c r="P7" s="177"/>
    </row>
    <row r="8" spans="2:16" ht="16.5" thickBot="1" x14ac:dyDescent="0.3">
      <c r="B8" s="171"/>
      <c r="C8" s="180"/>
      <c r="D8" s="113"/>
      <c r="E8" s="140" t="s">
        <v>234</v>
      </c>
      <c r="F8" s="128" t="str">
        <f ca="1">+IF(TODAY()&lt;(F1+1), IF(L2="", "Ingrese Cod Articulo como número", IF(L2="No se encuentra el articulo", "No se encuentra el articulo revisar Código", IF(L2="Sin Int", "Cuotas Sin Interes hasta", IF(L2="Peque", "Cuotas en Peque Tasas Hasta:", IF(IFERROR(SEARCH("Prove", L2,1), 0)&gt;0, "Oferta Convenio con Proveedor", "Oferta de Contado -No tiene cuot sin int-"))))), "Estas Ofertas ya no están en Vigencia")</f>
        <v>Cuotas Sin Interes hasta</v>
      </c>
      <c r="G8" s="118">
        <f ca="1">+SUMIFS(Productos!L:L, Productos!A:A, $C$4, Productos!AD:AD, "&lt;" &amp; TODAY()+1, Productos!AE:AE, "&gt;" &amp; TODAY()-1)</f>
        <v>12</v>
      </c>
      <c r="H8" s="145"/>
      <c r="I8" s="171"/>
      <c r="J8" s="171"/>
      <c r="K8" s="171"/>
      <c r="L8" s="171"/>
      <c r="M8" s="171"/>
      <c r="N8" s="177"/>
      <c r="O8" s="177"/>
      <c r="P8" s="177"/>
    </row>
    <row r="9" spans="2:16" ht="13.5" customHeight="1" thickBot="1" x14ac:dyDescent="0.3">
      <c r="B9" s="171"/>
      <c r="C9" s="180"/>
      <c r="D9" s="113"/>
      <c r="E9" s="113"/>
      <c r="F9" s="129" t="str">
        <f ca="1">IF(F1&lt;TODAY(), "YA no está en vigencia", IF(_xlfn.XLOOKUP(C4, Productos!A:A, Productos!AD:AD, "No encontramos el BC buscado", 0, -1)&gt;TODAY()+1, "Todavia no está en Vigencia", CONCATENATE("Vigente hasta: ", TEXT(F1, "dd mmm"), "       Segmento: ", _xlfn.XLOOKUP(C4, Productos!A:A, Productos!H:H, 0, 0, -1))))</f>
        <v>Vigente hasta: 02 jul       Segmento: Dia del Padre</v>
      </c>
      <c r="G9" s="110"/>
      <c r="H9" s="145"/>
      <c r="I9" s="171"/>
      <c r="J9" s="171"/>
      <c r="K9" s="171"/>
      <c r="L9" s="171"/>
      <c r="M9" s="171"/>
      <c r="N9" s="177"/>
      <c r="O9" s="177"/>
      <c r="P9" s="177"/>
    </row>
    <row r="10" spans="2:16" ht="12" customHeight="1" x14ac:dyDescent="0.25">
      <c r="B10" s="171"/>
      <c r="C10" s="180"/>
      <c r="D10" s="113"/>
      <c r="E10" s="147"/>
      <c r="F10" s="147"/>
      <c r="G10" s="147"/>
      <c r="H10" s="148"/>
      <c r="I10" s="171"/>
      <c r="J10" s="171"/>
      <c r="K10" s="171"/>
      <c r="L10" s="171"/>
      <c r="M10" s="171"/>
      <c r="N10" s="177"/>
      <c r="O10" s="177"/>
      <c r="P10" s="177"/>
    </row>
    <row r="11" spans="2:16" ht="18" customHeight="1" x14ac:dyDescent="0.25">
      <c r="B11" s="171"/>
      <c r="C11" s="180"/>
      <c r="D11" s="113"/>
      <c r="E11" s="131" t="s">
        <v>235</v>
      </c>
      <c r="F11" s="119" t="str">
        <f ca="1">IF(F8="Estas Ofertas ya no están en Vigencia", "_", +IF(F8= "Ingrese Cod Articulo como número",  "Ingrese Cod Articulo como número", IF(F8="Oferta de Contado -No tiene cuot sin int-", "NO tiene desc por pago contado", IF(G8&lt;3, "NO tiene desc por pago contado", "Tiene Descuento por Pago Contado"))))</f>
        <v>Tiene Descuento por Pago Contado</v>
      </c>
      <c r="G11" s="130">
        <f ca="1">AVERAGEIFS(Productos!J:J, Productos!A:A, $C$4, Productos!AD:AD, "&lt;" &amp; TODAY()+1, Productos!AE:AE, "&gt;" &amp; TODAY()-1)</f>
        <v>0.15</v>
      </c>
      <c r="H11" s="146">
        <f ca="1">_xlfn.XLOOKUP(C4, Productos!A:A, Productos!G:G, 0, 0,-1)*(1-G11)</f>
        <v>57246.65</v>
      </c>
      <c r="I11" s="121" t="str">
        <f ca="1">IF(IFERROR(SEARCH("Oferta de cont",F8,1),0)&gt;0, _xlfn.CONCAT("Oferta contado, cargar descuento",_xlfn.XLOOKUP(C4,Productos!A:A,Productos!F:F,"",0,-1),"Ahorro manual"), IF(G11&gt;0, _xlfn.CONCAT("Afiliados contado ",ROUND(IFERROR(H4*(1-G11), ""), 1)), ""))</f>
        <v>Afiliados contado 54384.3</v>
      </c>
      <c r="J11" s="171" t="str">
        <f ca="1">+IF(IFERROR(SEARCH("Mundial Clubes", F9, 1), 0)=0, "", CONCATENATE("Contado Afiliado ", TEXT(H11*0.95, "$#,##0.00")))</f>
        <v/>
      </c>
      <c r="K11" s="171"/>
      <c r="L11" s="171"/>
      <c r="M11" s="171"/>
      <c r="N11" s="177"/>
      <c r="O11" s="177"/>
      <c r="P11" s="177"/>
    </row>
    <row r="12" spans="2:16" ht="18" customHeight="1" thickBot="1" x14ac:dyDescent="0.3">
      <c r="B12" s="171"/>
      <c r="C12" s="180"/>
      <c r="D12" s="113"/>
      <c r="E12" s="132" t="s">
        <v>236</v>
      </c>
      <c r="F12" s="120" t="str">
        <f ca="1">IF(F8="Estas Ofertas ya no están en Vigencia", "_", IF(IFERROR(SEARCH("Peque", F8, 1), FALSE()), CONCATENATE("Peque Tasa tiene hasta ", G8, " cuotas"), IF(IFERROR(SEARCH("Oferta de Contado", F8, 1),FALSE()), "Este articulo NO tiene peque tasas", IF(G8&gt;5, CONCATENATE("Peque Tasa tiene hasta ", IF(G8&lt;11, 12, 18), " cuotas"), "Este articulo NO tiene Peque tasa"))))</f>
        <v>Peque Tasa tiene hasta 18 cuotas</v>
      </c>
      <c r="G12" s="158" t="s">
        <v>237</v>
      </c>
      <c r="H12" s="145"/>
      <c r="I12" s="171"/>
      <c r="J12" s="171"/>
      <c r="K12" s="171"/>
      <c r="L12" s="171"/>
      <c r="M12" s="171"/>
      <c r="N12" s="177"/>
      <c r="O12" s="177"/>
      <c r="P12" s="177"/>
    </row>
    <row r="13" spans="2:16" ht="18" customHeight="1" x14ac:dyDescent="0.25">
      <c r="B13" s="171"/>
      <c r="C13" s="143"/>
      <c r="D13" s="113"/>
      <c r="E13" s="113"/>
      <c r="F13" s="168" t="str">
        <f ca="1">IF(F8="Estas Ofertas ya no están en Vigencia","_",IF(IFERROR(SEARCH("Prove", L2,1), 0)&gt;0, "_", IF(IFERROR(SEARCH("Oferta de cont", F8, 1), 0)&gt;0,"No tiene cuotas sin interés", "Tarj Bersa/Sta Fe/Corrientes/Credicoop/Comafi /Formosa/Chaco, sin int "&amp;_xlfn.XLOOKUP(CONCATENATE($L$2," ",$L$4),'convinaciones fina'!A:A,'convinaciones fina'!D:D,"REVISAR"))))</f>
        <v>Tarj Bersa/Sta Fe/Corrientes/Credicoop/Comafi /Formosa/Chaco, sin int hasta 12 cuotas</v>
      </c>
      <c r="G13" s="155">
        <f ca="1">ROUND(IF(IFERROR(SEARCH("hasta 3", F13, 1), FALSE()), SUMIFS(Productos!G:G, Productos!A:A, $C$4, Productos!AD:AD, "&lt;" &amp; TODAY()+1, Productos!AE:AE, "&gt;" &amp; TODAY()-1)/3, IF(IFERROR(SEARCH("hasta 6", F13, 1), FALSE()), SUMIFS(Productos!G:G, Productos!A:A, $C$4, Productos!AD:AD, "&lt;" &amp; TODAY()+1, Productos!AE:AE, "&gt;" &amp; TODAY()-1)/6, IF(IFERROR(SEARCH("hasta 9", F13, 1), FALSE()), SUMIFS(Productos!G:G, Productos!A:A, $C$4, Productos!AD:AD, "&lt;" &amp; TODAY()+1, Productos!AE:AE, "&gt;" &amp; TODAY()-1)/9, IF(IFERROR(SEARCH("hasta 10", F13, 1), FALSE()), SUMIFS(Productos!G:G, Productos!A:A, $C$4, Productos!AD:AD, "&lt;" &amp; TODAY()+1, Productos!AE:AE, "&gt;" &amp; TODAY()-1)/10, IF(IFERROR(SEARCH("hasta 12", F13, 1), FALSE()), SUMIFS(Productos!G:G, Productos!A:A, $C$4, Productos!AD:AD, "&lt;" &amp; TODAY()+1, Productos!AE:AE, "&gt;" &amp; TODAY()-1)/12, IF(IFERROR(SEARCH("hasta 18", F13, 1), FALSE()), SUMIFS(Productos!G:G, Productos!A:A, $C$4, Productos!AD:AD, "&lt;" &amp; TODAY()+1, Productos!AE:AE, "&gt;" &amp; TODAY()-1)/18, IF(IFERROR(SEARCH("hasta 24", F13, 1), FALSE()), SUMIFS(Productos!G:G, Productos!A:A, $C$4, Productos!AD:AD, "&lt;" &amp; TODAY()+1, Productos!AE:AE, "&gt;" &amp; TODAY()-1)/24, IF(IFERROR(SEARCH("hasta 1 ", F13, 1), FALSE()), SUMIFS(Productos!G:G, Productos!A:A, $C$4, Productos!AD:AD, "&lt;" &amp; TODAY()+1, Productos!AE:AE, "&gt;" &amp; TODAY()-1),0)))))))), 2)</f>
        <v>5612.42</v>
      </c>
      <c r="H13" s="155">
        <f ca="1">+IF(G13&gt;1, ROUNDUP(G13*0.95,1), "")</f>
        <v>5331.8</v>
      </c>
      <c r="I13" s="181"/>
      <c r="J13" s="181"/>
      <c r="K13" s="181"/>
      <c r="L13" s="182"/>
      <c r="M13" s="171"/>
      <c r="N13" s="177"/>
      <c r="O13" s="177"/>
      <c r="P13" s="177"/>
    </row>
    <row r="14" spans="2:16" ht="18" customHeight="1" x14ac:dyDescent="0.25">
      <c r="B14" s="171"/>
      <c r="C14" s="143"/>
      <c r="D14" s="113"/>
      <c r="E14" s="113"/>
      <c r="F14" s="169" t="str">
        <f ca="1">IF(F8="Estas Ofertas ya no están en Vigencia","_",IF(IFERROR(SEARCH("Prove", L2,1), 0)&gt;0, "Política comercial vigente", IF(IFERROR(SEARCH("Oferta de cont", F8, 1), 0)&gt;0,"No tiene cuotas sin interés","Bcos Macro, Nación, Gal, BBVA, sin int "&amp;_xlfn.XLOOKUP(CONCATENATE(_xlfn.XLOOKUP(C4, Productos!A:A, Productos!R:R, 0, 0, -1)," ",_xlfn.XLOOKUP(C4, Productos!A:A, Productos!S:S, 0, 0, -1)),'convinaciones fina'!B:B,'convinaciones fina'!K:K,"REVISAR"))))</f>
        <v>Bcos Macro, Nación, Gal, BBVA, sin int hasta 6 cuotas</v>
      </c>
      <c r="G14" s="156"/>
      <c r="H14" s="156" t="str">
        <f t="shared" ref="H14:H19" si="0">+IF(G14&gt;1, ROUNDUP(G14*0.95,1), "")</f>
        <v/>
      </c>
      <c r="I14" s="171"/>
      <c r="J14" s="171"/>
      <c r="K14" s="171"/>
      <c r="L14" s="183"/>
      <c r="M14" s="171"/>
      <c r="N14" s="177"/>
      <c r="O14" s="177"/>
      <c r="P14" s="177"/>
    </row>
    <row r="15" spans="2:16" ht="20.25" customHeight="1" thickBot="1" x14ac:dyDescent="0.3">
      <c r="B15" s="171"/>
      <c r="C15" s="180"/>
      <c r="D15" s="113"/>
      <c r="E15" s="113"/>
      <c r="F15" s="139" t="str">
        <f ca="1">IF(F8="Estas Ofertas ya no están en Vigencia","_",IF(IFERROR(SEARCH("Prove", L2,1), 0)&gt;0, "_", IF(IFERROR(SEARCH("Oferta de cont", F8, 1), 0)&gt;0,"No tiene cuotas sin interés","NARANJA X, sin int "&amp;_xlfn.XLOOKUP(CONCATENATE(_xlfn.XLOOKUP(C4, Productos!A:A, Productos!R:R, 0, 0, -1)," ",_xlfn.XLOOKUP(C4, Productos!A:A, Productos!S:S, 0, 0, -1)),'convinaciones fina'!B:B,'convinaciones fina'!E:E,"REVISAR"))))</f>
        <v>NARANJA X, sin int hasta 12 cuotas</v>
      </c>
      <c r="G15" s="155">
        <f ca="1">ROUND(IF(IFERROR(SEARCH("hasta 3", F15, 1), FALSE()), SUMIFS(Productos!G:G, Productos!A:A, $C$4, Productos!AD:AD, "&lt;" &amp; TODAY()+1, Productos!AE:AE, "&gt;" &amp; TODAY()-1)/3, IF(IFERROR(SEARCH("hasta 6", F15, 1), FALSE()), SUMIFS(Productos!G:G, Productos!A:A, $C$4, Productos!AD:AD, "&lt;" &amp; TODAY()+1, Productos!AE:AE, "&gt;" &amp; TODAY()-1)/6, IF(IFERROR(SEARCH("hasta 9", F15, 1), FALSE()), SUMIFS(Productos!G:G, Productos!A:A, $C$4, Productos!AD:AD, "&lt;" &amp; TODAY()+1, Productos!AE:AE, "&gt;" &amp; TODAY()-1)/9, IF(IFERROR(SEARCH("hasta 10", F15, 1), FALSE()), SUMIFS(Productos!G:G, Productos!A:A, $C$4, Productos!AD:AD, "&lt;" &amp; TODAY()+1, Productos!AE:AE, "&gt;" &amp; TODAY()-1)/10, IF(IFERROR(SEARCH("hasta 12", F15, 1), FALSE()), SUMIFS(Productos!G:G, Productos!A:A, $C$4, Productos!AD:AD, "&lt;" &amp; TODAY()+1, Productos!AE:AE, "&gt;" &amp; TODAY()-1)/12, IF(IFERROR(SEARCH("hasta 18", F15, 1), FALSE()), SUMIFS(Productos!G:G, Productos!A:A, $C$4, Productos!AD:AD, "&lt;" &amp; TODAY()+1, Productos!AE:AE, "&gt;" &amp; TODAY()-1)/18, IF(IFERROR(SEARCH("hasta 24", F15, 1), FALSE()), SUMIFS(Productos!G:G, Productos!A:A, $C$4, Productos!AD:AD, "&lt;" &amp; TODAY()+1, Productos!AE:AE, "&gt;" &amp; TODAY()-1)/24, IF(IFERROR(SEARCH("hasta 1 ", F15, 1), FALSE()), SUMIFS(Productos!G:G, Productos!A:A, $C$4, Productos!AD:AD, "&lt;" &amp; TODAY()+1, Productos!AE:AE, "&gt;" &amp; TODAY()-1),0)))))))), 2)</f>
        <v>5612.42</v>
      </c>
      <c r="H15" s="155">
        <f t="shared" ca="1" si="0"/>
        <v>5331.8</v>
      </c>
      <c r="I15" s="184"/>
      <c r="J15" s="185"/>
      <c r="K15" s="184"/>
      <c r="L15" s="186"/>
      <c r="M15" s="171"/>
      <c r="N15" s="177"/>
      <c r="O15" s="177"/>
      <c r="P15" s="177"/>
    </row>
    <row r="16" spans="2:16" ht="18" customHeight="1" x14ac:dyDescent="0.25">
      <c r="B16" s="171"/>
      <c r="C16" s="180"/>
      <c r="D16" s="113"/>
      <c r="E16" s="113"/>
      <c r="F16" s="138" t="str">
        <f ca="1">IF(F8="Estas Ofertas ya no están en Vigencia","_",IF(IFERROR(SEARCH("Prove", L2,1), 0)&gt;0, "_", IF(IFERROR(SEARCH("Oferta de cont", F8, 1), 0)&gt;0,"No tiene cuotas sin interés","TUYA NBCH, "&amp;CONCATENATE(_xlfn.XLOOKUP(C4, Productos!A:A, Productos!R:R, 0, 0, -1)," hasta ",_xlfn.XLOOKUP(C4, Productos!A:A, Productos!U:U, 0, 0, -1), " cuotas"))))</f>
        <v>TUYA NBCH, Sin Int hasta 6 cuotas</v>
      </c>
      <c r="G16" s="155">
        <f ca="1">ROUND(IF(IFERROR(SEARCH("hasta 3", F16, 1), FALSE()), SUMIFS(Productos!G:G, Productos!A:A, $C$4, Productos!AD:AD, "&lt;" &amp; TODAY()+1, Productos!AE:AE, "&gt;" &amp; TODAY()-1)/3, IF(IFERROR(SEARCH("hasta 5", F16, 1), FALSE()), SUMIFS(Productos!G:G, Productos!A:A, $C$4, Productos!AD:AD, "&lt;" &amp; TODAY()+1, Productos!AE:AE, "&gt;" &amp; TODAY()-1)/5, IF(IFERROR(SEARCH("hasta 10", F16, 1), FALSE()), SUMIFS(Productos!G:G, Productos!A:A, $C$4, Productos!AD:AD, "&lt;" &amp; TODAY()+1, Productos!AE:AE, "&gt;" &amp; TODAY()-1)/10, IF(IFERROR(SEARCH("hasta 12", F16, 1), FALSE()), SUMIFS(Productos!G:G, Productos!A:A, $C$4, Productos!AD:AD, "&lt;" &amp; TODAY()+1, Productos!AE:AE, "&gt;" &amp; TODAY()-1)/12, IF(IFERROR(SEARCH("hasta 18", F16, 1), FALSE()), SUMIFS(Productos!G:G, Productos!A:A, $C$4, Productos!AD:AD, "&lt;" &amp; TODAY()+1, Productos!AE:AE, "&gt;" &amp; TODAY()-1)/18, IF(IFERROR(SEARCH("hasta 24", F16, 1), FALSE()), SUMIFS(Productos!G:G, Productos!A:A, $C$4, Productos!AD:AD, "&lt;" &amp; TODAY()+1, Productos!AE:AE, "&gt;" &amp; TODAY()-1)/24, IF(IFERROR(SEARCH("hasta 1 ", F16, 1), FALSE()), SUMIFS(Productos!G:G, Productos!A:A, $C$4, Productos!AD:AD, "&lt;" &amp; TODAY()+1, Productos!AE:AE, "&gt;" &amp; TODAY()-1),0))))))), 2)</f>
        <v>0</v>
      </c>
      <c r="H16" s="155" t="str">
        <f t="shared" ca="1" si="0"/>
        <v/>
      </c>
      <c r="I16" s="171"/>
      <c r="J16" s="171"/>
      <c r="K16" s="171"/>
      <c r="L16" s="171"/>
      <c r="M16" s="171"/>
      <c r="N16" s="177"/>
      <c r="O16" s="177"/>
      <c r="P16" s="177"/>
    </row>
    <row r="17" spans="2:16" ht="23.25" customHeight="1" x14ac:dyDescent="0.25">
      <c r="B17" s="171"/>
      <c r="C17" s="180"/>
      <c r="D17" s="113"/>
      <c r="E17" s="113"/>
      <c r="F17" s="122" t="str">
        <f ca="1">IF(F8="Estas Ofertas ya no están en Vigencia","_",IF(IFERROR(SEARCH("Prove", L2,1), 0)&gt;0, "Política comercial vigente", IF(IFERROR(SEARCH("Oferta de cont", F8, 1), 0)&gt;0,"No tiene cuotas sin interés","Sidecreer, sin int "&amp;_xlfn.XLOOKUP(CONCATENATE(_xlfn.XLOOKUP(C4, Productos!A:A, Productos!R:R, 0, 0, -1)," ",_xlfn.XLOOKUP(C4, Productos!A:A, Productos!S:S, 0, 0, -1)),'convinaciones fina'!B:B,'convinaciones fina'!G:G,"REVISAR"))))</f>
        <v>Sidecreer, sin int hasta 6 cuotas</v>
      </c>
      <c r="G17" s="155">
        <f ca="1">ROUND(IF(IFERROR(SEARCH("hasta 3", F17, 1), FALSE()), SUMIFS(Productos!G:G, Productos!A:A, $C$4, Productos!AD:AD, "&lt;" &amp; TODAY()+1, Productos!AE:AE, "&gt;" &amp; TODAY()-1)/3, IF(IFERROR(SEARCH("hasta 6", F17, 1), FALSE()), SUMIFS(Productos!G:G, Productos!A:A, $C$4, Productos!AD:AD, "&lt;" &amp; TODAY()+1, Productos!AE:AE, "&gt;" &amp; TODAY()-1)/6, IF(IFERROR(SEARCH("hasta 10", F17, 1), FALSE()), SUMIFS(Productos!G:G, Productos!A:A, $C$4, Productos!AD:AD, "&lt;" &amp; TODAY()+1, Productos!AE:AE, "&gt;" &amp; TODAY()-1)/10, IF(IFERROR(SEARCH("hasta 12", F17, 1), FALSE()), SUMIFS(Productos!G:G, Productos!A:A, $C$4, Productos!AD:AD, "&lt;" &amp; TODAY()+1, Productos!AE:AE, "&gt;" &amp; TODAY()-1)/12, IF(IFERROR(SEARCH("hasta 18", F17, 1), FALSE()), SUMIFS(Productos!G:G, Productos!A:A, $C$4, Productos!AD:AD, "&lt;" &amp; TODAY()+1, Productos!AE:AE, "&gt;" &amp; TODAY()-1)/18, IF(IFERROR(SEARCH("hasta 24", F17, 1), FALSE()), SUMIFS(Productos!G:G, Productos!A:A, $C$4, Productos!AD:AD, "&lt;" &amp; TODAY()+1, Productos!AE:AE, "&gt;" &amp; TODAY()-1)/24, IF(IFERROR(SEARCH("hasta 1 ", F17, 1), FALSE()), SUMIFS(Productos!G:G, Productos!A:A, $C$4, Productos!AD:AD, "&lt;" &amp; TODAY()+1, Productos!AE:AE, "&gt;" &amp; TODAY()-1),0))))))), 2)</f>
        <v>11224.83</v>
      </c>
      <c r="H17" s="155">
        <f t="shared" ca="1" si="0"/>
        <v>10663.6</v>
      </c>
      <c r="I17" s="171"/>
      <c r="J17" s="171"/>
      <c r="K17" s="171"/>
      <c r="L17" s="171"/>
      <c r="M17" s="171"/>
      <c r="N17" s="177"/>
      <c r="O17" s="177"/>
      <c r="P17" s="177"/>
    </row>
    <row r="18" spans="2:16" ht="23.25" customHeight="1" x14ac:dyDescent="0.25">
      <c r="B18" s="171"/>
      <c r="C18" s="180"/>
      <c r="D18" s="113"/>
      <c r="E18" s="113"/>
      <c r="F18" s="122" t="str">
        <f ca="1">IF(F8="Estas Ofertas ya no están en Vigencia","_",IF(IFERROR(SEARCH("Prove", L2,1), 0)&gt;0, "Política comercial vigente", IF(IFERROR(SEARCH("Oferta de cont", F8, 1), 0)&gt;0,"No tiene cuotas sin interés","Consumax Sin Desc Afiliado, sin int "&amp;_xlfn.XLOOKUP(CONCATENATE(_xlfn.XLOOKUP(C4, Productos!A:A, Productos!R:R, 0, 0, -1)," ",_xlfn.XLOOKUP(C4, Productos!A:A, Productos!S:S, 0, 0, -1)),'convinaciones fina'!B:B,'convinaciones fina'!H:H,"REVISAR"))))</f>
        <v>Consumax Sin Desc Afiliado, sin int hasta 6 cuotas</v>
      </c>
      <c r="G18" s="155">
        <f ca="1">ROUND(IF(IFERROR(SEARCH("hasta 3", F18, 1), FALSE()), SUMIFS(Productos!G:G, Productos!A:A, $C$4, Productos!AD:AD, "&lt;" &amp; TODAY()+1, Productos!AE:AE, "&gt;" &amp; TODAY()-1)/3, IF(IFERROR(SEARCH("hasta 6", F18, 1), FALSE()), SUMIFS(Productos!G:G, Productos!A:A, $C$4, Productos!AD:AD, "&lt;" &amp; TODAY()+1, Productos!AE:AE, "&gt;" &amp; TODAY()-1)/6, IF(IFERROR(SEARCH("hasta 10", F18, 1), FALSE()), SUMIFS(Productos!G:G, Productos!A:A, $C$4, Productos!AD:AD, "&lt;" &amp; TODAY()+1, Productos!AE:AE, "&gt;" &amp; TODAY()-1)/10, IF(IFERROR(SEARCH("hasta 12", F18, 1), FALSE()), SUMIFS(Productos!G:G, Productos!A:A, $C$4, Productos!AD:AD, "&lt;" &amp; TODAY()+1, Productos!AE:AE, "&gt;" &amp; TODAY()-1)/12, IF(IFERROR(SEARCH("hasta 18", F18, 1), FALSE()), SUMIFS(Productos!G:G, Productos!A:A, $C$4, Productos!AD:AD, "&lt;" &amp; TODAY()+1, Productos!AE:AE, "&gt;" &amp; TODAY()-1)/18, IF(IFERROR(SEARCH("hasta 24", F18, 1), FALSE()), SUMIFS(Productos!G:G, Productos!A:A, $C$4, Productos!AD:AD, "&lt;" &amp; TODAY()+1, Productos!AE:AE, "&gt;" &amp; TODAY()-1)/24, IF(IFERROR(SEARCH("hasta 1 ", F18, 1), FALSE()), SUMIFS(Productos!G:G, Productos!A:A, $C$4, Productos!AD:AD, "&lt;" &amp; TODAY()+1, Productos!AE:AE, "&gt;" &amp; TODAY()-1),0))))))), 2)</f>
        <v>11224.83</v>
      </c>
      <c r="H18" s="155">
        <f t="shared" ca="1" si="0"/>
        <v>10663.6</v>
      </c>
      <c r="I18" s="171"/>
      <c r="J18" s="171"/>
      <c r="K18" s="171"/>
      <c r="L18" s="171"/>
      <c r="M18" s="171"/>
      <c r="N18" s="177"/>
      <c r="O18" s="177"/>
      <c r="P18" s="177"/>
    </row>
    <row r="19" spans="2:16" ht="23.25" customHeight="1" x14ac:dyDescent="0.25">
      <c r="B19" s="171"/>
      <c r="C19" s="180"/>
      <c r="D19" s="113"/>
      <c r="E19" s="113"/>
      <c r="F19" s="122" t="str">
        <f ca="1">IF(F8="Estas Ofertas ya no están en Vigencia","_", IF(IFERROR(SEARCH("Prove", L2,1), 0)&gt;0, "Política comercial vigente","Prestamo DNI, "&amp;_xlfn.XLOOKUP(CONCATENATE(_xlfn.XLOOKUP(C4, Productos!A:A, Productos!R:R, 0, 0, -1)," ",_xlfn.XLOOKUP(C4, Productos!A:A, Productos!S:S, 0, 0, -1)),'convinaciones fina'!B:B,'convinaciones fina'!I:I,"REVISAR")))</f>
        <v>Prestamo DNI, hasta 4 cuotas "Sin interés"</v>
      </c>
      <c r="G19" s="157"/>
      <c r="H19" s="157" t="str">
        <f t="shared" si="0"/>
        <v/>
      </c>
      <c r="I19" s="171"/>
      <c r="J19" s="171"/>
      <c r="K19" s="171"/>
      <c r="L19" s="171"/>
      <c r="M19" s="171"/>
      <c r="N19" s="177"/>
      <c r="O19" s="177"/>
      <c r="P19" s="177"/>
    </row>
    <row r="20" spans="2:16" ht="16.5" thickBot="1" x14ac:dyDescent="0.3">
      <c r="B20" s="171"/>
      <c r="C20" s="180"/>
      <c r="D20" s="113"/>
      <c r="E20" s="147"/>
      <c r="F20" s="147"/>
      <c r="G20" s="147"/>
      <c r="H20" s="149"/>
      <c r="I20" s="171"/>
      <c r="J20" s="171"/>
      <c r="K20" s="171"/>
      <c r="L20" s="171"/>
      <c r="M20" s="171"/>
      <c r="N20" s="177"/>
      <c r="O20" s="177"/>
      <c r="P20" s="177"/>
    </row>
    <row r="21" spans="2:16" ht="21.95" customHeight="1" x14ac:dyDescent="0.25">
      <c r="B21" s="171"/>
      <c r="C21" s="180"/>
      <c r="D21" s="133" t="s">
        <v>238</v>
      </c>
      <c r="E21" s="153"/>
      <c r="F21" s="134" t="str">
        <f ca="1">IF(G11&gt;0.13,"Para creditos personales Previsora/Directo/Yolo se aplica +tiempo+beneficio.",IF(IFERROR(SEARCH("Prove", L2,1), 0)&gt;0, "Puede aplicar Promo Bancaria o Mas tiempo Mas Beneficio (No ambos juntos)", IF(_xlfn.XLOOKUP($C$4, Productos!A:A, Productos!I:I, 0, 0, -1)="NO", "NO Tiene Descuento 5% si es Afiliado", IF(F8="Estas Ofertas ya no están en Vigencia", "_", IF(ISERROR(G8), "", CONCATENATE(" Tiene Descuento ", _xlfn.XLOOKUP($C$4, Productos!A:A, Productos!I:I, 0, 0, -1)*100, "% si es Afiliado"))))))</f>
        <v>Para creditos personales Previsora/Directo/Yolo se aplica +tiempo+beneficio.</v>
      </c>
      <c r="G21" s="111"/>
      <c r="H21" s="145"/>
      <c r="I21" s="171"/>
      <c r="J21" s="171"/>
      <c r="K21" s="171"/>
      <c r="L21" s="171"/>
      <c r="M21" s="171"/>
      <c r="N21" s="177"/>
      <c r="O21" s="177"/>
      <c r="P21" s="177"/>
    </row>
    <row r="22" spans="2:16" ht="15.75" x14ac:dyDescent="0.25">
      <c r="B22" s="171"/>
      <c r="C22" s="180"/>
      <c r="D22" s="112"/>
      <c r="E22" s="113"/>
      <c r="F22" s="123" t="str">
        <f ca="1">IF(IFERROR(SEARCH("Prove", L2,1), 0)&gt;0, "La política comercial es la de productos normales de salón.", IF(IFERROR(SEARCH("Tarj Bancaria, sin int hasta 3", F13, 1), 0)+IFERROR(SEARCH("Tarj Bancaria, sin int hasta 6", F13, 1), 0)+IFERROR(SEARCH("Tarj Bancaria, sin int hasta 9", F13, 1), 0)+IFERROR(SEARCH("Tarj Bancaria, sin int hasta 1", F13, 1), 0)&gt;0, "Se puede reemplazar la oferta por promoción bancaria", "No Se vende con promociones Bancarias al precio Oferta, se puede hacerlo al precio lista"))</f>
        <v>No Se vende con promociones Bancarias al precio Oferta, se puede hacerlo al precio lista</v>
      </c>
      <c r="G22" s="114"/>
      <c r="H22" s="145"/>
      <c r="I22" s="171"/>
      <c r="J22" s="171"/>
      <c r="K22" s="171"/>
      <c r="L22" s="171"/>
      <c r="M22" s="171"/>
      <c r="N22" s="177"/>
      <c r="O22" s="177"/>
      <c r="P22" s="177"/>
    </row>
    <row r="23" spans="2:16" ht="16.5" thickBot="1" x14ac:dyDescent="0.3">
      <c r="B23" s="171"/>
      <c r="C23" s="180"/>
      <c r="D23" s="135"/>
      <c r="E23" s="136"/>
      <c r="F23" s="137" t="str">
        <f ca="1">IF(F8="Estas Ofertas ya no están en Vigencia","El plazo de esta oferta ya no está vigente",IF(ISBLANK(C4),"",IF(IFERROR(SEARCH("NO tiene",F11,1),FALSE()),"Todas las Financiaciones NO MENCIONADAS con Interés.","Resto de las Financiaciones CON INTERÉS")))</f>
        <v>Resto de las Financiaciones CON INTERÉS</v>
      </c>
      <c r="G23" s="115"/>
      <c r="H23" s="145"/>
      <c r="I23" s="171"/>
      <c r="J23" s="171"/>
      <c r="K23" s="171"/>
      <c r="L23" s="171"/>
      <c r="M23" s="171"/>
      <c r="N23" s="177"/>
      <c r="O23" s="177"/>
      <c r="P23" s="177"/>
    </row>
    <row r="24" spans="2:16" x14ac:dyDescent="0.25"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7"/>
      <c r="O24" s="177"/>
      <c r="P24" s="177"/>
    </row>
    <row r="25" spans="2:16" x14ac:dyDescent="0.25"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7"/>
      <c r="O25" s="177"/>
      <c r="P25" s="177"/>
    </row>
    <row r="26" spans="2:16" x14ac:dyDescent="0.25"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7"/>
      <c r="O26" s="177"/>
      <c r="P26" s="177"/>
    </row>
    <row r="27" spans="2:16" x14ac:dyDescent="0.25"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7"/>
      <c r="O27" s="177"/>
      <c r="P27" s="177"/>
    </row>
    <row r="28" spans="2:16" x14ac:dyDescent="0.25"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7"/>
      <c r="O28" s="177"/>
      <c r="P28" s="177"/>
    </row>
    <row r="29" spans="2:16" x14ac:dyDescent="0.25"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7"/>
      <c r="O29" s="177"/>
      <c r="P29" s="177"/>
    </row>
  </sheetData>
  <sheetProtection algorithmName="SHA-512" hashValue="DlORWilviNO5OwCNwO8JTEONrqi6UrBmqyVJgK9Erql03zw324uF8AhcItNUHmXG30rZhgJ3iWrES/K5b2hx7g==" saltValue="rFUpAgpRUdTrvAYxRackhw==" spinCount="100000" sheet="1" objects="1" scenarios="1"/>
  <protectedRanges>
    <protectedRange sqref="C4" name="Rango1"/>
    <protectedRange sqref="F1:G1" name="Rango2"/>
  </protectedRanges>
  <mergeCells count="1">
    <mergeCell ref="F2:H2"/>
  </mergeCells>
  <conditionalFormatting sqref="E3:H8">
    <cfRule type="expression" dxfId="15" priority="2">
      <formula>IF(SEARCH("YA no", $F$9, 1)&gt;0, TRUE(), FALSE())</formula>
    </cfRule>
    <cfRule type="expression" dxfId="14" priority="27">
      <formula>IF(SEARCH("Todavia no", $F$9, 1)&gt;0, TRUE(), FALSE())</formula>
    </cfRule>
  </conditionalFormatting>
  <conditionalFormatting sqref="F4">
    <cfRule type="expression" dxfId="13" priority="26">
      <formula>"si(hallar(""YA no"", $F$9, 1)&gt;0, VERDADERO(), FALSO())"</formula>
    </cfRule>
  </conditionalFormatting>
  <conditionalFormatting sqref="F11">
    <cfRule type="containsText" dxfId="12" priority="31" operator="containsText" text="Tiene Descuento">
      <formula>NOT(ISERROR(SEARCH("Tiene Descuento",F11)))</formula>
    </cfRule>
  </conditionalFormatting>
  <conditionalFormatting sqref="F11:F19">
    <cfRule type="containsText" dxfId="11" priority="32" operator="containsText" text="hasta ">
      <formula>NOT(ISERROR(SEARCH("hasta ",F11)))</formula>
    </cfRule>
    <cfRule type="containsText" dxfId="10" priority="34" operator="containsText" text="No tiene">
      <formula>NOT(ISERROR(SEARCH("No tiene",F11)))</formula>
    </cfRule>
  </conditionalFormatting>
  <conditionalFormatting sqref="F17:F19">
    <cfRule type="containsText" dxfId="9" priority="28" operator="containsText" text="&quot;Sidecreer  Tiene 3 cuotas sin Interes&quot;">
      <formula>NOT(ISERROR(SEARCH("""Sidecreer  Tiene 3 cuotas sin Interes""",F17)))</formula>
    </cfRule>
  </conditionalFormatting>
  <conditionalFormatting sqref="F21">
    <cfRule type="containsText" dxfId="8" priority="1" operator="containsText" text="Para creditos perso">
      <formula>NOT(ISERROR(SEARCH("Para creditos perso",F21)))</formula>
    </cfRule>
    <cfRule type="containsText" dxfId="7" priority="22" operator="containsText" text="Puede aplicar Promo Bancaria o Mas tiempo Mas Beneficio (No ambos juntos)">
      <formula>NOT(ISERROR(SEARCH("Puede aplicar Promo Bancaria o Mas tiempo Mas Beneficio (No ambos juntos)",F21)))</formula>
    </cfRule>
  </conditionalFormatting>
  <conditionalFormatting sqref="F21:F22">
    <cfRule type="containsText" dxfId="6" priority="30" operator="containsText" text="NO Tiene Descuento 5% si es Afiliado">
      <formula>NOT(ISERROR(SEARCH("NO Tiene Descuento 5% si es Afiliado",F21)))</formula>
    </cfRule>
    <cfRule type="containsText" dxfId="5" priority="33" operator="containsText" text="Tiene descuento 5">
      <formula>NOT(ISERROR(SEARCH("Tiene descuento 5",F21)))</formula>
    </cfRule>
  </conditionalFormatting>
  <conditionalFormatting sqref="F22">
    <cfRule type="containsText" dxfId="4" priority="23" operator="containsText" text="La política comercial">
      <formula>NOT(ISERROR(SEARCH("La política comercial",F22)))</formula>
    </cfRule>
    <cfRule type="containsText" dxfId="3" priority="24" operator="containsText" text="No Se vende con promociones Bancarias al precio Oferta">
      <formula>NOT(ISERROR(SEARCH("No Se vende con promociones Bancarias al precio Oferta",F22)))</formula>
    </cfRule>
    <cfRule type="containsText" dxfId="2" priority="29" operator="containsText" text="Se puede reemplazar la oferta por promoción bancaria">
      <formula>NOT(ISERROR(SEARCH("Se puede reemplazar la oferta por promoción bancaria",F22)))</formula>
    </cfRule>
  </conditionalFormatting>
  <conditionalFormatting sqref="H11">
    <cfRule type="cellIs" dxfId="1" priority="25" operator="greaterThan">
      <formula>0.01</formula>
    </cfRule>
  </conditionalFormatting>
  <conditionalFormatting sqref="H4:K4">
    <cfRule type="expression" dxfId="0" priority="21">
      <formula>SEARCH("Puede llevar más", $H$4, 1)</formula>
    </cfRule>
  </conditionalFormatting>
  <pageMargins left="0.25" right="0.25" top="0.75" bottom="0.75" header="0.3" footer="0.3"/>
  <pageSetup paperSize="9" scale="86" fitToHeight="0" orientation="landscape" horizontalDpi="0" verticalDpi="0" copies="2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5E3D94-3397-4343-98DA-2D0B6EC6BF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Politicas</vt:lpstr>
      <vt:lpstr>convinaciones fina</vt:lpstr>
      <vt:lpstr>Hoja1</vt:lpstr>
      <vt:lpstr>Productos</vt:lpstr>
      <vt:lpstr>Hoja2</vt:lpstr>
      <vt:lpstr>Asesora Politicas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Ramirez</dc:creator>
  <cp:keywords/>
  <dc:description/>
  <cp:lastModifiedBy>Jorge Ramirez</cp:lastModifiedBy>
  <cp:revision/>
  <dcterms:created xsi:type="dcterms:W3CDTF">2023-07-31T20:55:15Z</dcterms:created>
  <dcterms:modified xsi:type="dcterms:W3CDTF">2026-07-03T17:46:51Z</dcterms:modified>
  <cp:category/>
  <cp:contentStatus/>
</cp:coreProperties>
</file>